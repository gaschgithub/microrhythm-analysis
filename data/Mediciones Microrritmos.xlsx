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Proyecto Terminal/House/Microritmos/Mediciones Microrritmos/"/>
    </mc:Choice>
  </mc:AlternateContent>
  <xr:revisionPtr revIDLastSave="0" documentId="13_ncr:1_{3B336385-B32A-9F49-AE6D-6D0FD183F31C}" xr6:coauthVersionLast="47" xr6:coauthVersionMax="47" xr10:uidLastSave="{00000000-0000-0000-0000-000000000000}"/>
  <bookViews>
    <workbookView xWindow="0" yWindow="0" windowWidth="33600" windowHeight="21000" xr2:uid="{AE8D9B15-F4F3-6C4E-BA40-D6263F67C9A2}"/>
  </bookViews>
  <sheets>
    <sheet name="Microrritm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2" i="1" l="1"/>
  <c r="AQ15" i="1"/>
  <c r="AO15" i="1"/>
  <c r="AL15" i="1"/>
  <c r="AP15" i="1" s="1"/>
  <c r="AQ14" i="1"/>
  <c r="AO14" i="1"/>
  <c r="AL14" i="1"/>
  <c r="AP14" i="1" s="1"/>
  <c r="AQ13" i="1"/>
  <c r="AL13" i="1"/>
  <c r="AP13" i="1" s="1"/>
  <c r="AK13" i="1"/>
  <c r="AO13" i="1" s="1"/>
  <c r="AL12" i="1"/>
  <c r="AP12" i="1" s="1"/>
  <c r="AK12" i="1"/>
  <c r="AO12" i="1" s="1"/>
  <c r="AR11" i="1"/>
  <c r="AQ11" i="1"/>
  <c r="AP11" i="1"/>
  <c r="AO11" i="1"/>
  <c r="AQ10" i="1"/>
  <c r="AO10" i="1"/>
  <c r="AL10" i="1"/>
  <c r="AP10" i="1" s="1"/>
  <c r="AQ9" i="1"/>
  <c r="AP9" i="1"/>
  <c r="AK9" i="1"/>
  <c r="AO9" i="1" s="1"/>
  <c r="AQ8" i="1"/>
  <c r="AL8" i="1"/>
  <c r="AP8" i="1" s="1"/>
  <c r="AK8" i="1"/>
  <c r="AO8" i="1" s="1"/>
  <c r="AR7" i="1"/>
  <c r="AQ7" i="1"/>
  <c r="AP7" i="1"/>
  <c r="AO7" i="1"/>
  <c r="AQ6" i="1"/>
  <c r="AP6" i="1"/>
  <c r="AK6" i="1"/>
  <c r="AO6" i="1" s="1"/>
  <c r="AQ5" i="1"/>
  <c r="AP5" i="1"/>
  <c r="AK5" i="1"/>
  <c r="AO5" i="1" s="1"/>
  <c r="AQ4" i="1"/>
  <c r="AL4" i="1"/>
  <c r="AP4" i="1" s="1"/>
  <c r="AK4" i="1"/>
  <c r="AO4" i="1" s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C5" i="1"/>
  <c r="AG5" i="1" s="1"/>
  <c r="AB5" i="1"/>
  <c r="AF5" i="1" s="1"/>
  <c r="AI4" i="1"/>
  <c r="AH4" i="1"/>
  <c r="AC4" i="1"/>
  <c r="AG4" i="1" s="1"/>
  <c r="AB4" i="1"/>
  <c r="AF4" i="1" s="1"/>
  <c r="Z39" i="1"/>
  <c r="Y39" i="1"/>
  <c r="X39" i="1"/>
  <c r="W39" i="1"/>
  <c r="V38" i="1"/>
  <c r="Z38" i="1" s="1"/>
  <c r="U38" i="1"/>
  <c r="Y38" i="1" s="1"/>
  <c r="T38" i="1"/>
  <c r="X38" i="1" s="1"/>
  <c r="S38" i="1"/>
  <c r="W38" i="1" s="1"/>
  <c r="Z37" i="1"/>
  <c r="Y37" i="1"/>
  <c r="X37" i="1"/>
  <c r="W37" i="1"/>
  <c r="Z36" i="1"/>
  <c r="Y36" i="1"/>
  <c r="X36" i="1"/>
  <c r="W36" i="1"/>
  <c r="Y35" i="1"/>
  <c r="X35" i="1"/>
  <c r="W35" i="1"/>
  <c r="V35" i="1"/>
  <c r="Z35" i="1" s="1"/>
  <c r="U35" i="1"/>
  <c r="X34" i="1"/>
  <c r="W34" i="1"/>
  <c r="V34" i="1"/>
  <c r="Z34" i="1" s="1"/>
  <c r="U34" i="1"/>
  <c r="Y34" i="1" s="1"/>
  <c r="Z33" i="1"/>
  <c r="Y33" i="1"/>
  <c r="X33" i="1"/>
  <c r="T33" i="1"/>
  <c r="S33" i="1"/>
  <c r="W33" i="1" s="1"/>
  <c r="Z32" i="1"/>
  <c r="Y32" i="1"/>
  <c r="X32" i="1"/>
  <c r="W32" i="1"/>
  <c r="X31" i="1"/>
  <c r="W31" i="1"/>
  <c r="V31" i="1"/>
  <c r="Z31" i="1" s="1"/>
  <c r="U31" i="1"/>
  <c r="Y31" i="1" s="1"/>
  <c r="Z30" i="1"/>
  <c r="Y30" i="1"/>
  <c r="X30" i="1"/>
  <c r="W30" i="1"/>
  <c r="Z29" i="1"/>
  <c r="Y29" i="1"/>
  <c r="X29" i="1"/>
  <c r="W29" i="1"/>
  <c r="Z28" i="1"/>
  <c r="Y28" i="1"/>
  <c r="X28" i="1"/>
  <c r="W28" i="1"/>
  <c r="Z27" i="1"/>
  <c r="Y27" i="1"/>
  <c r="X27" i="1"/>
  <c r="W27" i="1"/>
  <c r="X26" i="1"/>
  <c r="W26" i="1"/>
  <c r="V26" i="1"/>
  <c r="Z26" i="1" s="1"/>
  <c r="U26" i="1"/>
  <c r="Y26" i="1" s="1"/>
  <c r="Z25" i="1"/>
  <c r="Y25" i="1"/>
  <c r="X25" i="1"/>
  <c r="W25" i="1"/>
  <c r="Z24" i="1"/>
  <c r="Y24" i="1"/>
  <c r="X24" i="1"/>
  <c r="W24" i="1"/>
  <c r="V19" i="1"/>
  <c r="Z19" i="1" s="1"/>
  <c r="U19" i="1"/>
  <c r="Y19" i="1" s="1"/>
  <c r="T19" i="1"/>
  <c r="X19" i="1" s="1"/>
  <c r="S19" i="1"/>
  <c r="W19" i="1" s="1"/>
  <c r="Z18" i="1"/>
  <c r="Y18" i="1"/>
  <c r="W18" i="1"/>
  <c r="T18" i="1"/>
  <c r="X18" i="1" s="1"/>
  <c r="S18" i="1"/>
  <c r="V17" i="1"/>
  <c r="Z17" i="1" s="1"/>
  <c r="U17" i="1"/>
  <c r="Y17" i="1" s="1"/>
  <c r="T17" i="1"/>
  <c r="X17" i="1" s="1"/>
  <c r="S17" i="1"/>
  <c r="W17" i="1" s="1"/>
  <c r="Z16" i="1"/>
  <c r="Y16" i="1"/>
  <c r="X16" i="1"/>
  <c r="W16" i="1"/>
  <c r="V15" i="1"/>
  <c r="Z15" i="1" s="1"/>
  <c r="U15" i="1"/>
  <c r="Y15" i="1" s="1"/>
  <c r="T15" i="1"/>
  <c r="X15" i="1" s="1"/>
  <c r="S15" i="1"/>
  <c r="W15" i="1" s="1"/>
  <c r="Z14" i="1"/>
  <c r="Y14" i="1"/>
  <c r="X14" i="1"/>
  <c r="T14" i="1"/>
  <c r="S14" i="1"/>
  <c r="W14" i="1" s="1"/>
  <c r="V13" i="1"/>
  <c r="Z13" i="1" s="1"/>
  <c r="U13" i="1"/>
  <c r="Y13" i="1" s="1"/>
  <c r="T13" i="1"/>
  <c r="X13" i="1" s="1"/>
  <c r="S13" i="1"/>
  <c r="W13" i="1" s="1"/>
  <c r="Z12" i="1"/>
  <c r="Y12" i="1"/>
  <c r="X12" i="1"/>
  <c r="W12" i="1"/>
  <c r="Z11" i="1"/>
  <c r="Y11" i="1"/>
  <c r="X11" i="1"/>
  <c r="W11" i="1"/>
  <c r="Z10" i="1"/>
  <c r="Y10" i="1"/>
  <c r="T10" i="1"/>
  <c r="X10" i="1" s="1"/>
  <c r="S10" i="1"/>
  <c r="W10" i="1" s="1"/>
  <c r="Z9" i="1"/>
  <c r="Y9" i="1"/>
  <c r="X9" i="1"/>
  <c r="T9" i="1"/>
  <c r="S9" i="1"/>
  <c r="W9" i="1" s="1"/>
  <c r="Z8" i="1"/>
  <c r="W8" i="1"/>
  <c r="U8" i="1"/>
  <c r="Y8" i="1" s="1"/>
  <c r="T8" i="1"/>
  <c r="X8" i="1" s="1"/>
  <c r="V7" i="1"/>
  <c r="Z7" i="1" s="1"/>
  <c r="U7" i="1"/>
  <c r="Y7" i="1" s="1"/>
  <c r="T7" i="1"/>
  <c r="X7" i="1" s="1"/>
  <c r="S7" i="1"/>
  <c r="W7" i="1" s="1"/>
  <c r="Z6" i="1"/>
  <c r="Y6" i="1"/>
  <c r="T6" i="1"/>
  <c r="X6" i="1" s="1"/>
  <c r="S6" i="1"/>
  <c r="W6" i="1" s="1"/>
  <c r="V5" i="1"/>
  <c r="Z5" i="1" s="1"/>
  <c r="U5" i="1"/>
  <c r="Y5" i="1" s="1"/>
  <c r="T5" i="1"/>
  <c r="X5" i="1" s="1"/>
  <c r="S5" i="1"/>
  <c r="W5" i="1" s="1"/>
  <c r="Z4" i="1"/>
  <c r="W4" i="1"/>
  <c r="U4" i="1"/>
  <c r="Y4" i="1" s="1"/>
  <c r="T4" i="1"/>
  <c r="X4" i="1" s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F44" i="1"/>
  <c r="G44" i="1"/>
  <c r="H44" i="1"/>
  <c r="E44" i="1"/>
  <c r="F24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E24" i="1"/>
  <c r="Q179" i="1"/>
  <c r="P179" i="1"/>
  <c r="O179" i="1"/>
  <c r="N179" i="1"/>
  <c r="Q178" i="1"/>
  <c r="P178" i="1"/>
  <c r="O178" i="1"/>
  <c r="N178" i="1"/>
  <c r="Q177" i="1"/>
  <c r="P177" i="1"/>
  <c r="O177" i="1"/>
  <c r="N177" i="1"/>
  <c r="Q176" i="1"/>
  <c r="P176" i="1"/>
  <c r="O176" i="1"/>
  <c r="N176" i="1"/>
  <c r="Q175" i="1"/>
  <c r="P175" i="1"/>
  <c r="O175" i="1"/>
  <c r="N175" i="1"/>
  <c r="Q174" i="1"/>
  <c r="P174" i="1"/>
  <c r="O174" i="1"/>
  <c r="N174" i="1"/>
  <c r="Q173" i="1"/>
  <c r="P173" i="1"/>
  <c r="O173" i="1"/>
  <c r="N173" i="1"/>
  <c r="Q172" i="1"/>
  <c r="P172" i="1"/>
  <c r="O172" i="1"/>
  <c r="N172" i="1"/>
  <c r="Q171" i="1"/>
  <c r="P171" i="1"/>
  <c r="O171" i="1"/>
  <c r="N171" i="1"/>
  <c r="Q170" i="1"/>
  <c r="P170" i="1"/>
  <c r="O170" i="1"/>
  <c r="N170" i="1"/>
  <c r="Q169" i="1"/>
  <c r="P169" i="1"/>
  <c r="O169" i="1"/>
  <c r="N169" i="1"/>
  <c r="Q168" i="1"/>
  <c r="P168" i="1"/>
  <c r="O168" i="1"/>
  <c r="N168" i="1"/>
  <c r="Q167" i="1"/>
  <c r="P167" i="1"/>
  <c r="O167" i="1"/>
  <c r="N167" i="1"/>
  <c r="Q166" i="1"/>
  <c r="P166" i="1"/>
  <c r="O166" i="1"/>
  <c r="N166" i="1"/>
  <c r="Q165" i="1"/>
  <c r="P165" i="1"/>
  <c r="O165" i="1"/>
  <c r="N165" i="1"/>
  <c r="Q164" i="1"/>
  <c r="P164" i="1"/>
  <c r="O164" i="1"/>
  <c r="N164" i="1"/>
  <c r="Q159" i="1"/>
  <c r="P159" i="1"/>
  <c r="O159" i="1"/>
  <c r="N159" i="1"/>
  <c r="Q158" i="1"/>
  <c r="P158" i="1"/>
  <c r="O158" i="1"/>
  <c r="N158" i="1"/>
  <c r="Q157" i="1"/>
  <c r="P157" i="1"/>
  <c r="O157" i="1"/>
  <c r="N157" i="1"/>
  <c r="Q156" i="1"/>
  <c r="P156" i="1"/>
  <c r="O156" i="1"/>
  <c r="N156" i="1"/>
  <c r="Q155" i="1"/>
  <c r="P155" i="1"/>
  <c r="O155" i="1"/>
  <c r="N155" i="1"/>
  <c r="Q154" i="1"/>
  <c r="P154" i="1"/>
  <c r="O154" i="1"/>
  <c r="N154" i="1"/>
  <c r="Q153" i="1"/>
  <c r="P153" i="1"/>
  <c r="O153" i="1"/>
  <c r="N153" i="1"/>
  <c r="Q152" i="1"/>
  <c r="P152" i="1"/>
  <c r="O152" i="1"/>
  <c r="N152" i="1"/>
  <c r="Q151" i="1"/>
  <c r="P151" i="1"/>
  <c r="O151" i="1"/>
  <c r="N151" i="1"/>
  <c r="Q150" i="1"/>
  <c r="P150" i="1"/>
  <c r="O150" i="1"/>
  <c r="N150" i="1"/>
  <c r="Q149" i="1"/>
  <c r="P149" i="1"/>
  <c r="O149" i="1"/>
  <c r="N149" i="1"/>
  <c r="Q148" i="1"/>
  <c r="P148" i="1"/>
  <c r="O148" i="1"/>
  <c r="N148" i="1"/>
  <c r="Q147" i="1"/>
  <c r="P147" i="1"/>
  <c r="O147" i="1"/>
  <c r="N147" i="1"/>
  <c r="Q146" i="1"/>
  <c r="P146" i="1"/>
  <c r="O146" i="1"/>
  <c r="N146" i="1"/>
  <c r="Q145" i="1"/>
  <c r="P145" i="1"/>
  <c r="O145" i="1"/>
  <c r="N145" i="1"/>
  <c r="Q144" i="1"/>
  <c r="P144" i="1"/>
  <c r="O144" i="1"/>
  <c r="N144" i="1"/>
  <c r="Q139" i="1"/>
  <c r="P139" i="1"/>
  <c r="O139" i="1"/>
  <c r="N139" i="1"/>
  <c r="Q138" i="1"/>
  <c r="P138" i="1"/>
  <c r="O138" i="1"/>
  <c r="N138" i="1"/>
  <c r="Q137" i="1"/>
  <c r="P137" i="1"/>
  <c r="O137" i="1"/>
  <c r="N137" i="1"/>
  <c r="Q136" i="1"/>
  <c r="P136" i="1"/>
  <c r="O136" i="1"/>
  <c r="N136" i="1"/>
  <c r="Q135" i="1"/>
  <c r="P135" i="1"/>
  <c r="O135" i="1"/>
  <c r="N135" i="1"/>
  <c r="Q134" i="1"/>
  <c r="P134" i="1"/>
  <c r="O134" i="1"/>
  <c r="N134" i="1"/>
  <c r="Q133" i="1"/>
  <c r="P133" i="1"/>
  <c r="O133" i="1"/>
  <c r="N133" i="1"/>
  <c r="Q132" i="1"/>
  <c r="P132" i="1"/>
  <c r="O132" i="1"/>
  <c r="N132" i="1"/>
  <c r="Q131" i="1"/>
  <c r="P131" i="1"/>
  <c r="O131" i="1"/>
  <c r="N131" i="1"/>
  <c r="Q130" i="1"/>
  <c r="P130" i="1"/>
  <c r="O130" i="1"/>
  <c r="N130" i="1"/>
  <c r="Q129" i="1"/>
  <c r="P129" i="1"/>
  <c r="O129" i="1"/>
  <c r="N129" i="1"/>
  <c r="Q128" i="1"/>
  <c r="P128" i="1"/>
  <c r="O128" i="1"/>
  <c r="N128" i="1"/>
  <c r="Q127" i="1"/>
  <c r="P127" i="1"/>
  <c r="O127" i="1"/>
  <c r="N127" i="1"/>
  <c r="Q126" i="1"/>
  <c r="P126" i="1"/>
  <c r="O126" i="1"/>
  <c r="N126" i="1"/>
  <c r="Q125" i="1"/>
  <c r="P125" i="1"/>
  <c r="O125" i="1"/>
  <c r="N125" i="1"/>
  <c r="Q124" i="1"/>
  <c r="P124" i="1"/>
  <c r="O124" i="1"/>
  <c r="N124" i="1"/>
  <c r="Q119" i="1"/>
  <c r="P119" i="1"/>
  <c r="O119" i="1"/>
  <c r="N119" i="1"/>
  <c r="Q118" i="1"/>
  <c r="P118" i="1"/>
  <c r="O118" i="1"/>
  <c r="N118" i="1"/>
  <c r="Q117" i="1"/>
  <c r="P117" i="1"/>
  <c r="O117" i="1"/>
  <c r="N117" i="1"/>
  <c r="Q116" i="1"/>
  <c r="P116" i="1"/>
  <c r="O116" i="1"/>
  <c r="N116" i="1"/>
  <c r="Q115" i="1"/>
  <c r="P115" i="1"/>
  <c r="O115" i="1"/>
  <c r="N115" i="1"/>
  <c r="Q114" i="1"/>
  <c r="P114" i="1"/>
  <c r="O114" i="1"/>
  <c r="N114" i="1"/>
  <c r="Q113" i="1"/>
  <c r="P113" i="1"/>
  <c r="O113" i="1"/>
  <c r="N113" i="1"/>
  <c r="Q112" i="1"/>
  <c r="P112" i="1"/>
  <c r="O112" i="1"/>
  <c r="N112" i="1"/>
  <c r="Q111" i="1"/>
  <c r="P111" i="1"/>
  <c r="O111" i="1"/>
  <c r="N111" i="1"/>
  <c r="Q110" i="1"/>
  <c r="P110" i="1"/>
  <c r="O110" i="1"/>
  <c r="N110" i="1"/>
  <c r="Q109" i="1"/>
  <c r="P109" i="1"/>
  <c r="O109" i="1"/>
  <c r="N109" i="1"/>
  <c r="Q108" i="1"/>
  <c r="P108" i="1"/>
  <c r="O108" i="1"/>
  <c r="N108" i="1"/>
  <c r="Q107" i="1"/>
  <c r="P107" i="1"/>
  <c r="O107" i="1"/>
  <c r="N107" i="1"/>
  <c r="Q106" i="1"/>
  <c r="P106" i="1"/>
  <c r="O106" i="1"/>
  <c r="N106" i="1"/>
  <c r="Q105" i="1"/>
  <c r="P105" i="1"/>
  <c r="O105" i="1"/>
  <c r="N105" i="1"/>
  <c r="Q104" i="1"/>
  <c r="P104" i="1"/>
  <c r="O104" i="1"/>
  <c r="N104" i="1"/>
  <c r="Q99" i="1"/>
  <c r="P99" i="1"/>
  <c r="O99" i="1"/>
  <c r="N99" i="1"/>
  <c r="Q98" i="1"/>
  <c r="P98" i="1"/>
  <c r="O98" i="1"/>
  <c r="N98" i="1"/>
  <c r="Q97" i="1"/>
  <c r="P97" i="1"/>
  <c r="O97" i="1"/>
  <c r="N97" i="1"/>
  <c r="Q96" i="1"/>
  <c r="P96" i="1"/>
  <c r="O96" i="1"/>
  <c r="N96" i="1"/>
  <c r="Q95" i="1"/>
  <c r="P95" i="1"/>
  <c r="O95" i="1"/>
  <c r="N95" i="1"/>
  <c r="Q94" i="1"/>
  <c r="P94" i="1"/>
  <c r="O94" i="1"/>
  <c r="N94" i="1"/>
  <c r="Q93" i="1"/>
  <c r="P93" i="1"/>
  <c r="O93" i="1"/>
  <c r="N93" i="1"/>
  <c r="Q92" i="1"/>
  <c r="P92" i="1"/>
  <c r="O92" i="1"/>
  <c r="N92" i="1"/>
  <c r="Q91" i="1"/>
  <c r="P91" i="1"/>
  <c r="O91" i="1"/>
  <c r="N91" i="1"/>
  <c r="Q90" i="1"/>
  <c r="P90" i="1"/>
  <c r="O90" i="1"/>
  <c r="N90" i="1"/>
  <c r="Q89" i="1"/>
  <c r="P89" i="1"/>
  <c r="O89" i="1"/>
  <c r="N89" i="1"/>
  <c r="Q88" i="1"/>
  <c r="P88" i="1"/>
  <c r="O88" i="1"/>
  <c r="N88" i="1"/>
  <c r="Q87" i="1"/>
  <c r="P87" i="1"/>
  <c r="O87" i="1"/>
  <c r="N87" i="1"/>
  <c r="Q86" i="1"/>
  <c r="P86" i="1"/>
  <c r="O86" i="1"/>
  <c r="N86" i="1"/>
  <c r="Q85" i="1"/>
  <c r="P85" i="1"/>
  <c r="O85" i="1"/>
  <c r="N85" i="1"/>
  <c r="Q84" i="1"/>
  <c r="P84" i="1"/>
  <c r="O84" i="1"/>
  <c r="N84" i="1"/>
  <c r="Q79" i="1"/>
  <c r="P79" i="1"/>
  <c r="O79" i="1"/>
  <c r="N79" i="1"/>
  <c r="Q78" i="1"/>
  <c r="P78" i="1"/>
  <c r="O78" i="1"/>
  <c r="N78" i="1"/>
  <c r="Q77" i="1"/>
  <c r="P77" i="1"/>
  <c r="O77" i="1"/>
  <c r="N77" i="1"/>
  <c r="Q76" i="1"/>
  <c r="L76" i="1"/>
  <c r="P76" i="1" s="1"/>
  <c r="K76" i="1"/>
  <c r="O76" i="1" s="1"/>
  <c r="J76" i="1"/>
  <c r="N76" i="1" s="1"/>
  <c r="Q75" i="1"/>
  <c r="P75" i="1"/>
  <c r="O75" i="1"/>
  <c r="N75" i="1"/>
  <c r="Q74" i="1"/>
  <c r="P74" i="1"/>
  <c r="N74" i="1"/>
  <c r="K74" i="1"/>
  <c r="O74" i="1" s="1"/>
  <c r="J74" i="1"/>
  <c r="Q73" i="1"/>
  <c r="P73" i="1"/>
  <c r="O73" i="1"/>
  <c r="N73" i="1"/>
  <c r="Q72" i="1"/>
  <c r="P72" i="1"/>
  <c r="K72" i="1"/>
  <c r="O72" i="1" s="1"/>
  <c r="J72" i="1"/>
  <c r="N72" i="1" s="1"/>
  <c r="Q71" i="1"/>
  <c r="P71" i="1"/>
  <c r="K71" i="1"/>
  <c r="O71" i="1" s="1"/>
  <c r="J71" i="1"/>
  <c r="N71" i="1" s="1"/>
  <c r="Q70" i="1"/>
  <c r="P70" i="1"/>
  <c r="K70" i="1"/>
  <c r="O70" i="1" s="1"/>
  <c r="J70" i="1"/>
  <c r="N70" i="1" s="1"/>
  <c r="Q69" i="1"/>
  <c r="P69" i="1"/>
  <c r="O69" i="1"/>
  <c r="N69" i="1"/>
  <c r="Q68" i="1"/>
  <c r="P68" i="1"/>
  <c r="K68" i="1"/>
  <c r="O68" i="1" s="1"/>
  <c r="J68" i="1"/>
  <c r="N68" i="1" s="1"/>
  <c r="Q67" i="1"/>
  <c r="P67" i="1"/>
  <c r="O67" i="1"/>
  <c r="N67" i="1"/>
  <c r="Q66" i="1"/>
  <c r="P66" i="1"/>
  <c r="K66" i="1"/>
  <c r="O66" i="1" s="1"/>
  <c r="J66" i="1"/>
  <c r="N66" i="1" s="1"/>
  <c r="Q65" i="1"/>
  <c r="P65" i="1"/>
  <c r="O65" i="1"/>
  <c r="N65" i="1"/>
  <c r="M64" i="1"/>
  <c r="Q64" i="1" s="1"/>
  <c r="L64" i="1"/>
  <c r="P64" i="1" s="1"/>
  <c r="K64" i="1"/>
  <c r="O64" i="1" s="1"/>
  <c r="J64" i="1"/>
  <c r="N64" i="1" s="1"/>
  <c r="Q59" i="1"/>
  <c r="P59" i="1"/>
  <c r="O59" i="1"/>
  <c r="N59" i="1"/>
  <c r="Q58" i="1"/>
  <c r="P58" i="1"/>
  <c r="O58" i="1"/>
  <c r="N58" i="1"/>
  <c r="Q57" i="1"/>
  <c r="P57" i="1"/>
  <c r="O57" i="1"/>
  <c r="N57" i="1"/>
  <c r="Q56" i="1"/>
  <c r="P56" i="1"/>
  <c r="O56" i="1"/>
  <c r="N56" i="1"/>
  <c r="Q55" i="1"/>
  <c r="P55" i="1"/>
  <c r="O55" i="1"/>
  <c r="N55" i="1"/>
  <c r="Q54" i="1"/>
  <c r="P54" i="1"/>
  <c r="O54" i="1"/>
  <c r="N54" i="1"/>
  <c r="Q53" i="1"/>
  <c r="P53" i="1"/>
  <c r="O53" i="1"/>
  <c r="N53" i="1"/>
  <c r="Q52" i="1"/>
  <c r="P52" i="1"/>
  <c r="O52" i="1"/>
  <c r="N52" i="1"/>
  <c r="Q51" i="1"/>
  <c r="P51" i="1"/>
  <c r="O51" i="1"/>
  <c r="N51" i="1"/>
  <c r="Q50" i="1"/>
  <c r="P50" i="1"/>
  <c r="O50" i="1"/>
  <c r="N50" i="1"/>
  <c r="Q49" i="1"/>
  <c r="P49" i="1"/>
  <c r="O49" i="1"/>
  <c r="N49" i="1"/>
  <c r="Q48" i="1"/>
  <c r="P48" i="1"/>
  <c r="O48" i="1"/>
  <c r="N48" i="1"/>
  <c r="Q47" i="1"/>
  <c r="P47" i="1"/>
  <c r="O47" i="1"/>
  <c r="N47" i="1"/>
  <c r="Q46" i="1"/>
  <c r="P46" i="1"/>
  <c r="O46" i="1"/>
  <c r="N46" i="1"/>
  <c r="Q45" i="1"/>
  <c r="P45" i="1"/>
  <c r="O45" i="1"/>
  <c r="N45" i="1"/>
  <c r="Q44" i="1"/>
  <c r="P44" i="1"/>
  <c r="O44" i="1"/>
  <c r="N44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K32" i="1"/>
  <c r="O32" i="1" s="1"/>
  <c r="J32" i="1"/>
  <c r="N32" i="1" s="1"/>
  <c r="Q31" i="1"/>
  <c r="P31" i="1"/>
  <c r="K31" i="1"/>
  <c r="O31" i="1" s="1"/>
  <c r="J31" i="1"/>
  <c r="N31" i="1" s="1"/>
  <c r="Q30" i="1"/>
  <c r="P30" i="1"/>
  <c r="O30" i="1"/>
  <c r="N30" i="1"/>
  <c r="Q29" i="1"/>
  <c r="P29" i="1"/>
  <c r="O29" i="1"/>
  <c r="N29" i="1"/>
  <c r="Q28" i="1"/>
  <c r="P28" i="1"/>
  <c r="K28" i="1"/>
  <c r="O28" i="1" s="1"/>
  <c r="J28" i="1"/>
  <c r="N28" i="1" s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K24" i="1"/>
  <c r="O24" i="1" s="1"/>
  <c r="J24" i="1"/>
  <c r="N24" i="1" s="1"/>
  <c r="Q19" i="1"/>
  <c r="P19" i="1"/>
  <c r="K19" i="1"/>
  <c r="O19" i="1" s="1"/>
  <c r="J19" i="1"/>
  <c r="N19" i="1" s="1"/>
  <c r="Q18" i="1"/>
  <c r="P18" i="1"/>
  <c r="K18" i="1"/>
  <c r="O18" i="1" s="1"/>
  <c r="J18" i="1"/>
  <c r="N18" i="1" s="1"/>
  <c r="Q17" i="1"/>
  <c r="P17" i="1"/>
  <c r="K17" i="1"/>
  <c r="O17" i="1" s="1"/>
  <c r="J17" i="1"/>
  <c r="N17" i="1" s="1"/>
  <c r="Q16" i="1"/>
  <c r="P16" i="1"/>
  <c r="K16" i="1"/>
  <c r="O16" i="1" s="1"/>
  <c r="J16" i="1"/>
  <c r="N16" i="1" s="1"/>
  <c r="Q15" i="1"/>
  <c r="P15" i="1"/>
  <c r="K15" i="1"/>
  <c r="O15" i="1" s="1"/>
  <c r="J15" i="1"/>
  <c r="N15" i="1" s="1"/>
  <c r="Q14" i="1"/>
  <c r="P14" i="1"/>
  <c r="K14" i="1"/>
  <c r="O14" i="1" s="1"/>
  <c r="J14" i="1"/>
  <c r="N14" i="1" s="1"/>
  <c r="Q13" i="1"/>
  <c r="P13" i="1"/>
  <c r="O13" i="1"/>
  <c r="N13" i="1"/>
  <c r="Q12" i="1"/>
  <c r="P12" i="1"/>
  <c r="K12" i="1"/>
  <c r="O12" i="1" s="1"/>
  <c r="J12" i="1"/>
  <c r="N12" i="1" s="1"/>
  <c r="Q11" i="1"/>
  <c r="P11" i="1"/>
  <c r="K11" i="1"/>
  <c r="O11" i="1" s="1"/>
  <c r="J11" i="1"/>
  <c r="N11" i="1" s="1"/>
  <c r="Q10" i="1"/>
  <c r="P10" i="1"/>
  <c r="O10" i="1"/>
  <c r="N10" i="1"/>
  <c r="Q9" i="1"/>
  <c r="P9" i="1"/>
  <c r="O9" i="1"/>
  <c r="N9" i="1"/>
  <c r="Q8" i="1"/>
  <c r="P8" i="1"/>
  <c r="K8" i="1"/>
  <c r="O8" i="1" s="1"/>
  <c r="J8" i="1"/>
  <c r="N8" i="1" s="1"/>
  <c r="Q7" i="1"/>
  <c r="P7" i="1"/>
  <c r="O7" i="1"/>
  <c r="N7" i="1"/>
  <c r="Q6" i="1"/>
  <c r="P6" i="1"/>
  <c r="K6" i="1"/>
  <c r="O6" i="1" s="1"/>
  <c r="J6" i="1"/>
  <c r="N6" i="1" s="1"/>
  <c r="Q5" i="1"/>
  <c r="P5" i="1"/>
  <c r="K5" i="1"/>
  <c r="O5" i="1" s="1"/>
  <c r="J5" i="1"/>
  <c r="N5" i="1" s="1"/>
  <c r="Q4" i="1"/>
  <c r="P4" i="1"/>
  <c r="K4" i="1"/>
  <c r="O4" i="1" s="1"/>
  <c r="J4" i="1"/>
  <c r="N4" i="1" s="1"/>
  <c r="G17" i="1"/>
  <c r="H17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4" i="1"/>
  <c r="H4" i="1"/>
  <c r="B17" i="1"/>
  <c r="F17" i="1" s="1"/>
  <c r="A17" i="1"/>
  <c r="E17" i="1" s="1"/>
  <c r="A16" i="1"/>
  <c r="E16" i="1" s="1"/>
  <c r="B16" i="1"/>
  <c r="F16" i="1" s="1"/>
  <c r="B15" i="1"/>
  <c r="F15" i="1" s="1"/>
  <c r="A15" i="1"/>
  <c r="E15" i="1" s="1"/>
  <c r="B14" i="1"/>
  <c r="F14" i="1" s="1"/>
  <c r="A14" i="1"/>
  <c r="E14" i="1" s="1"/>
  <c r="B13" i="1"/>
  <c r="F13" i="1" s="1"/>
  <c r="A13" i="1"/>
  <c r="E13" i="1" s="1"/>
  <c r="B12" i="1"/>
  <c r="F12" i="1" s="1"/>
  <c r="A12" i="1"/>
  <c r="E12" i="1" s="1"/>
  <c r="B11" i="1"/>
  <c r="F11" i="1" s="1"/>
  <c r="A11" i="1"/>
  <c r="E11" i="1" s="1"/>
  <c r="B10" i="1"/>
  <c r="F10" i="1" s="1"/>
  <c r="A10" i="1"/>
  <c r="E10" i="1" s="1"/>
  <c r="B9" i="1"/>
  <c r="F9" i="1" s="1"/>
  <c r="A9" i="1"/>
  <c r="E9" i="1" s="1"/>
  <c r="B8" i="1"/>
  <c r="F8" i="1" s="1"/>
  <c r="A8" i="1"/>
  <c r="E8" i="1" s="1"/>
  <c r="B7" i="1"/>
  <c r="F7" i="1" s="1"/>
  <c r="A7" i="1"/>
  <c r="E7" i="1" s="1"/>
  <c r="B6" i="1"/>
  <c r="F6" i="1" s="1"/>
  <c r="A6" i="1"/>
  <c r="E6" i="1" s="1"/>
  <c r="B5" i="1"/>
  <c r="F5" i="1" s="1"/>
  <c r="A5" i="1"/>
  <c r="E5" i="1" s="1"/>
  <c r="B4" i="1"/>
  <c r="F4" i="1" s="1"/>
  <c r="A4" i="1"/>
  <c r="E4" i="1" s="1"/>
</calcChain>
</file>

<file path=xl/sharedStrings.xml><?xml version="1.0" encoding="utf-8"?>
<sst xmlns="http://schemas.openxmlformats.org/spreadsheetml/2006/main" count="375" uniqueCount="179">
  <si>
    <t>LA NOCHE</t>
  </si>
  <si>
    <r>
      <rPr>
        <b/>
        <sz val="13"/>
        <color theme="1"/>
        <rFont val="Calibri (Cuerpo)"/>
      </rPr>
      <t xml:space="preserve">DURACIÓN DE SEMICORCHEAS </t>
    </r>
    <r>
      <rPr>
        <b/>
        <sz val="10"/>
        <color theme="1"/>
        <rFont val="Calibri (Cuerpo)"/>
      </rPr>
      <t>(EN MILISEGUNDOS)</t>
    </r>
  </si>
  <si>
    <r>
      <rPr>
        <b/>
        <sz val="13"/>
        <color theme="1"/>
        <rFont val="Calibri (Cuerpo)"/>
      </rPr>
      <t>DURACIÓN DE SEMICORCHEAS</t>
    </r>
    <r>
      <rPr>
        <sz val="13"/>
        <color theme="1"/>
        <rFont val="Calibri (Cuerpo)"/>
      </rPr>
      <t xml:space="preserve"> </t>
    </r>
    <r>
      <rPr>
        <b/>
        <sz val="10"/>
        <color theme="1"/>
        <rFont val="Calibri (Cuerpo)"/>
      </rPr>
      <t>(EN MILISEGUNDOS)</t>
    </r>
  </si>
  <si>
    <t>MEDIA</t>
  </si>
  <si>
    <t>BRUJERÍA</t>
  </si>
  <si>
    <t>PEDRO NAVAJA</t>
  </si>
  <si>
    <t>CUMBIA PODER</t>
  </si>
  <si>
    <t>BAILEMOS CUMBIA</t>
  </si>
  <si>
    <t>BOM MOTIVO</t>
  </si>
  <si>
    <t>AGORA É TUDO MEU</t>
  </si>
  <si>
    <t>LA CITA</t>
  </si>
  <si>
    <t>17 AÑOS</t>
  </si>
  <si>
    <t>93.2 (TA)</t>
  </si>
  <si>
    <t>94.8 (TA)</t>
  </si>
  <si>
    <t>EL CANTANTE</t>
  </si>
  <si>
    <t>INDESTRUCTIBLE</t>
  </si>
  <si>
    <t>USTED ABUSÓ</t>
  </si>
  <si>
    <t>ANACAONA</t>
  </si>
  <si>
    <t>%</t>
  </si>
  <si>
    <t>MAMBO GOZÓN</t>
  </si>
  <si>
    <t>98.3 (TA)</t>
  </si>
  <si>
    <t>107.7(TA)</t>
  </si>
  <si>
    <t>100.4(TA)</t>
  </si>
  <si>
    <t>90.9(TA)</t>
  </si>
  <si>
    <t>105.3(TA)</t>
  </si>
  <si>
    <t>104.7(TA)</t>
  </si>
  <si>
    <t>VÁMONOS PA'L MONTE</t>
  </si>
  <si>
    <t>102.6 (TA)</t>
  </si>
  <si>
    <t>104.8 (TA)</t>
  </si>
  <si>
    <t>89.2 (TA)</t>
  </si>
  <si>
    <t>105.5 (TA)</t>
  </si>
  <si>
    <t>87.9 (TA)</t>
  </si>
  <si>
    <t>140 (TA)</t>
  </si>
  <si>
    <t>LA DANZA DEL MONO</t>
  </si>
  <si>
    <t>MI MATAMOROS QUERIDO</t>
  </si>
  <si>
    <t>TODO ME GUSTA DE TI</t>
  </si>
  <si>
    <t>FUEGO EN EL 23</t>
  </si>
  <si>
    <t>100.2(TA)</t>
  </si>
  <si>
    <t>EN BARRANQUILLA ME QUEDO</t>
  </si>
  <si>
    <t>94.4(TA)</t>
  </si>
  <si>
    <t>NOCHE DE ARREBOLES</t>
  </si>
  <si>
    <t>98.7(TA)</t>
  </si>
  <si>
    <t>A RA</t>
  </si>
  <si>
    <t>73.83(TA)</t>
  </si>
  <si>
    <t>AGUA DE BEBER</t>
  </si>
  <si>
    <t>81.8(TA)</t>
  </si>
  <si>
    <t>BLUCHANGA</t>
  </si>
  <si>
    <t>79.7(TA)</t>
  </si>
  <si>
    <t>OUTRA VEZ</t>
  </si>
  <si>
    <t>76.225(TA)</t>
  </si>
  <si>
    <t>ROSA MORENA</t>
  </si>
  <si>
    <t>MUÑECA ESQUIVA</t>
  </si>
  <si>
    <t>QUE NADIE SEPA MI SUFRIR</t>
  </si>
  <si>
    <t>MIRA OYE</t>
  </si>
  <si>
    <t>LA SABROSONA</t>
  </si>
  <si>
    <t>125.0(TA)</t>
  </si>
  <si>
    <t>120.0 (TA)</t>
  </si>
  <si>
    <t>92.0 (TA)</t>
  </si>
  <si>
    <t>SABRÉ OLVIDAR</t>
  </si>
  <si>
    <t>108.7 (TA)</t>
  </si>
  <si>
    <t>110.4 (TA)</t>
  </si>
  <si>
    <t>90.23 (TA)</t>
  </si>
  <si>
    <t>96.69 (TA)</t>
  </si>
  <si>
    <t>103.41 (TA)</t>
  </si>
  <si>
    <t>103.7 (TA)</t>
  </si>
  <si>
    <t>97.17 (TA)</t>
  </si>
  <si>
    <t>91.26 (TA)</t>
  </si>
  <si>
    <t>108.07(TA)</t>
  </si>
  <si>
    <t>SIN TU CARIÑO</t>
  </si>
  <si>
    <t>99.63(TA)</t>
  </si>
  <si>
    <t>A NIGHT IN TUNISIA</t>
  </si>
  <si>
    <t>EL REY DE LA PUNTUALIDAD</t>
  </si>
  <si>
    <t>104(TA)</t>
  </si>
  <si>
    <t>LLORARÁS</t>
  </si>
  <si>
    <t>94.88(TA)</t>
  </si>
  <si>
    <t>CASI TE ENVIDIO</t>
  </si>
  <si>
    <t>95.1(TA)</t>
  </si>
  <si>
    <t>QUÉ LOCURA ENAMORARME DE TI</t>
  </si>
  <si>
    <t>93.03(TA)</t>
  </si>
  <si>
    <t>AMORES COMO EL NUESTRO</t>
  </si>
  <si>
    <t>89.8(TA)</t>
  </si>
  <si>
    <t>OIGA, MIRE, VEA</t>
  </si>
  <si>
    <t>89.25(TA)</t>
  </si>
  <si>
    <t>TÚ CON EL</t>
  </si>
  <si>
    <t>95.06(TA)</t>
  </si>
  <si>
    <t>CONCIENCIA</t>
  </si>
  <si>
    <t>88.2(TA)</t>
  </si>
  <si>
    <t>LA ENFERMERA</t>
  </si>
  <si>
    <t>106.4 (TA)</t>
  </si>
  <si>
    <t>117.9(TA)</t>
  </si>
  <si>
    <t>116.1(TA)</t>
  </si>
  <si>
    <t>122.44(TA)</t>
  </si>
  <si>
    <t>125.2(TA)</t>
  </si>
  <si>
    <t>114.8(TA)</t>
  </si>
  <si>
    <t>128.7(TA)</t>
  </si>
  <si>
    <t>ECHAO PA LANTE</t>
  </si>
  <si>
    <t>TAL PARA CUAL</t>
  </si>
  <si>
    <t>TERESA VUELVE</t>
  </si>
  <si>
    <t>SON APRETAO</t>
  </si>
  <si>
    <t>SIMULA TIMULA</t>
  </si>
  <si>
    <t>118.07(TA)</t>
  </si>
  <si>
    <t>MUSA ORIGINAL</t>
  </si>
  <si>
    <t>TE QUIERO MAS</t>
  </si>
  <si>
    <t>128.3(TA)</t>
  </si>
  <si>
    <t>CANTA JOE</t>
  </si>
  <si>
    <t>112(TA)</t>
  </si>
  <si>
    <t>A PLANAZOS</t>
  </si>
  <si>
    <t>120.92 (TA)</t>
  </si>
  <si>
    <t>113.29 (TA)</t>
  </si>
  <si>
    <t>TRES CORAZONES</t>
  </si>
  <si>
    <t>EL HOMBRE LOBO</t>
  </si>
  <si>
    <t>137.7 (TA)</t>
  </si>
  <si>
    <t>NO SE VIVIR SIN TI</t>
  </si>
  <si>
    <t>117.9 (TA)</t>
  </si>
  <si>
    <t>EL CENTURIÓN DE LA NOCHE</t>
  </si>
  <si>
    <t>APRIETA QUE LLEGUE</t>
  </si>
  <si>
    <t>119.7 (TA)</t>
  </si>
  <si>
    <t>TUMANYE</t>
  </si>
  <si>
    <t>123.6 (TA)</t>
  </si>
  <si>
    <t>ULALA CARTAGENA</t>
  </si>
  <si>
    <t>ZUM-ZUM</t>
  </si>
  <si>
    <t>98 (TA)</t>
  </si>
  <si>
    <t>BORANDA</t>
  </si>
  <si>
    <t>MAIS QUE NADA</t>
  </si>
  <si>
    <t>89.5 (TA)</t>
  </si>
  <si>
    <t>SAUDADE VEM CORRENDO</t>
  </si>
  <si>
    <t>90.05 (TA)</t>
  </si>
  <si>
    <t>GAROTA DE IPANEMA</t>
  </si>
  <si>
    <t>70.8 (TA)</t>
  </si>
  <si>
    <t>BERIMBAU</t>
  </si>
  <si>
    <t>87.35 (TA)</t>
  </si>
  <si>
    <t>MOSHI MOSHI</t>
  </si>
  <si>
    <t>73.41 (TA)</t>
  </si>
  <si>
    <t>NOVA BOSSA NOVA</t>
  </si>
  <si>
    <t>99.3 (TA)</t>
  </si>
  <si>
    <t>POCOTO</t>
  </si>
  <si>
    <t>130.03 (TA)</t>
  </si>
  <si>
    <t>150 (TA)</t>
  </si>
  <si>
    <t>Finalidade Era Ficar em Casa</t>
  </si>
  <si>
    <t>130.04 (TA)</t>
  </si>
  <si>
    <t xml:space="preserve">AQUECIMENTO DAS MARAVILHAS </t>
  </si>
  <si>
    <t>130.01 (TA)</t>
  </si>
  <si>
    <t>JOGADINHA DO PAQUETA</t>
  </si>
  <si>
    <t>TUBARAO TE AMO</t>
  </si>
  <si>
    <t>130 (TA)</t>
  </si>
  <si>
    <t>TOMA TAPA</t>
  </si>
  <si>
    <t>PARTIU</t>
  </si>
  <si>
    <t>135 (TA)</t>
  </si>
  <si>
    <t>AQUECIMENTO SENTA SENTA SUAVE</t>
  </si>
  <si>
    <t>SUA PREFERIDA</t>
  </si>
  <si>
    <t>DEVAGARINHO</t>
  </si>
  <si>
    <t>ENSAIO DAS MARAVILHAS</t>
  </si>
  <si>
    <t>SENTADONA</t>
  </si>
  <si>
    <t>UMA NORA PRA CADA DIA</t>
  </si>
  <si>
    <t>160 (TA)</t>
  </si>
  <si>
    <t>PILANTRAGEM</t>
  </si>
  <si>
    <t>50 TONS</t>
  </si>
  <si>
    <t>OS MULEKE E LISO</t>
  </si>
  <si>
    <t>HOJE EU VOU PARAR NA GAIOLA</t>
  </si>
  <si>
    <t>SENTA EM MIM XERECAO</t>
  </si>
  <si>
    <t>PORRADEIRO VS MARRETADA</t>
  </si>
  <si>
    <t>AMARRADXS</t>
  </si>
  <si>
    <t>91 (TA)</t>
  </si>
  <si>
    <t>"El Diario De Un Borracho" de Aniceto Molina</t>
  </si>
  <si>
    <t>94.11 (TA)</t>
  </si>
  <si>
    <t>"Rumba Cha-Cha-Cha" de Grupo Kual?</t>
  </si>
  <si>
    <t>97 (TA)</t>
  </si>
  <si>
    <t>104.76 (TA)</t>
  </si>
  <si>
    <t>"Ojitos Hechiceros" de Rodolfo Aicardi</t>
  </si>
  <si>
    <t>99.9 (TA)</t>
  </si>
  <si>
    <t>"Escándalo" de Margarita la diosa de la cumbia</t>
  </si>
  <si>
    <t>92 (TA)</t>
  </si>
  <si>
    <t>"Bim Bom" de João Gilberto</t>
  </si>
  <si>
    <t>"Cria De Favela" de Anitta</t>
  </si>
  <si>
    <t>"Double Team" de Anitta</t>
  </si>
  <si>
    <t>"Baile no Morro" de MC Tairon</t>
  </si>
  <si>
    <t>"Evoluiu" de MC Kevin o Chris</t>
  </si>
  <si>
    <t>150.001 (TA)</t>
  </si>
  <si>
    <t>"Sentou e Gostou" de MC JottaPê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</si>
</sst>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 (Cuerpo)"/>
    </font>
    <font>
      <b/>
      <sz val="12"/>
      <color theme="1"/>
      <name val="Calibri (Cuerpo)"/>
    </font>
    <font>
      <b/>
      <sz val="11"/>
      <color theme="1"/>
      <name val="Calibri (Cuerpo)"/>
    </font>
    <font>
      <b/>
      <sz val="10"/>
      <color theme="1"/>
      <name val="Calibri (Cuerpo)"/>
    </font>
    <font>
      <b/>
      <sz val="13"/>
      <color theme="1"/>
      <name val="Calibri (Cuerpo)"/>
    </font>
    <font>
      <sz val="13"/>
      <color theme="1"/>
      <name val="Calibri (Cuerpo)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 (Cuerpo)"/>
    </font>
    <font>
      <i/>
      <sz val="13"/>
      <color theme="1"/>
      <name val="Helvetica Neue"/>
      <family val="2"/>
    </font>
    <font>
      <b/>
      <sz val="16"/>
      <color theme="1"/>
      <name val="Calibri (Cuerpo)"/>
    </font>
    <font>
      <b/>
      <sz val="11"/>
      <name val="Calibri"/>
      <family val="2"/>
    </font>
    <font>
      <sz val="24"/>
      <color theme="1"/>
      <name val="Calibri (Cuerpo)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5AFF"/>
        <bgColor indexed="64"/>
      </patternFill>
    </fill>
    <fill>
      <patternFill patternType="solid">
        <fgColor rgb="FFE4E334"/>
        <bgColor indexed="64"/>
      </patternFill>
    </fill>
    <fill>
      <patternFill patternType="solid">
        <fgColor rgb="FF00E672"/>
        <bgColor indexed="64"/>
      </patternFill>
    </fill>
    <fill>
      <patternFill patternType="solid">
        <fgColor rgb="FF05E673"/>
        <bgColor indexed="64"/>
      </patternFill>
    </fill>
    <fill>
      <patternFill patternType="solid">
        <fgColor rgb="FFFF4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8" fillId="0" borderId="0" xfId="0" applyFont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2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00E672"/>
      <color rgb="FFE37400"/>
      <color rgb="FFD31CAC"/>
      <color rgb="FF05E673"/>
      <color rgb="FF65C0A8"/>
      <color rgb="FF46C099"/>
      <color rgb="FF00E57C"/>
      <color rgb="FFE4E334"/>
      <color rgb="FF95C0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756C-13EF-6D41-95CE-7A24662C299A}">
  <dimension ref="A1:BA499"/>
  <sheetViews>
    <sheetView tabSelected="1" topLeftCell="P343" zoomScale="57" zoomScaleNormal="35" workbookViewId="0">
      <selection activeCell="AG504" sqref="AG504"/>
    </sheetView>
  </sheetViews>
  <sheetFormatPr baseColWidth="10" defaultRowHeight="16" x14ac:dyDescent="0.2"/>
  <sheetData>
    <row r="1" spans="1:53" ht="31" x14ac:dyDescent="0.35">
      <c r="A1" s="12" t="s">
        <v>11</v>
      </c>
      <c r="B1" s="13"/>
      <c r="C1" s="13"/>
      <c r="D1" s="13"/>
      <c r="E1" s="13"/>
      <c r="F1" s="13"/>
      <c r="G1" s="13"/>
      <c r="H1" s="13"/>
      <c r="J1" s="9" t="s">
        <v>5</v>
      </c>
      <c r="K1" s="10"/>
      <c r="L1" s="10"/>
      <c r="M1" s="10"/>
      <c r="N1" s="10"/>
      <c r="O1" s="10"/>
      <c r="P1" s="10"/>
      <c r="Q1" s="10"/>
      <c r="S1" s="1" t="s">
        <v>0</v>
      </c>
      <c r="T1" s="2"/>
      <c r="U1" s="2"/>
      <c r="V1" s="2"/>
      <c r="W1" s="2"/>
      <c r="X1" s="2"/>
      <c r="Y1" s="2"/>
      <c r="Z1" s="2"/>
      <c r="AB1" s="14" t="s">
        <v>8</v>
      </c>
      <c r="AC1" s="15"/>
      <c r="AD1" s="15"/>
      <c r="AE1" s="15"/>
      <c r="AF1" s="15"/>
      <c r="AG1" s="15"/>
      <c r="AH1" s="15"/>
      <c r="AI1" s="15"/>
      <c r="AK1" s="16" t="s">
        <v>9</v>
      </c>
      <c r="AL1" s="17"/>
      <c r="AM1" s="17"/>
      <c r="AN1" s="17"/>
      <c r="AO1" s="17"/>
      <c r="AP1" s="17"/>
      <c r="AQ1" s="18"/>
      <c r="AR1" s="17"/>
      <c r="AT1" s="28" t="s">
        <v>161</v>
      </c>
      <c r="AU1" s="29"/>
      <c r="AV1" s="29"/>
      <c r="AW1" s="29"/>
      <c r="AX1" s="29"/>
      <c r="AY1" s="29"/>
      <c r="AZ1" s="29"/>
      <c r="BA1" s="29"/>
    </row>
    <row r="2" spans="1:53" ht="31" x14ac:dyDescent="0.35">
      <c r="A2" s="3" t="s">
        <v>2</v>
      </c>
      <c r="E2" s="6" t="s">
        <v>3</v>
      </c>
      <c r="F2" s="6" t="s">
        <v>29</v>
      </c>
      <c r="G2" s="6"/>
      <c r="H2" s="6"/>
      <c r="J2" s="3" t="s">
        <v>2</v>
      </c>
      <c r="N2" s="23" t="s">
        <v>18</v>
      </c>
      <c r="O2" s="6" t="s">
        <v>13</v>
      </c>
      <c r="P2" s="6"/>
      <c r="Q2" s="6"/>
      <c r="S2" s="3" t="s">
        <v>2</v>
      </c>
      <c r="W2" s="6" t="s">
        <v>3</v>
      </c>
      <c r="X2" s="6" t="s">
        <v>30</v>
      </c>
      <c r="Y2" s="6"/>
      <c r="Z2" s="6"/>
      <c r="AB2" s="3" t="s">
        <v>2</v>
      </c>
      <c r="AF2" s="6" t="s">
        <v>3</v>
      </c>
      <c r="AG2" s="6" t="s">
        <v>31</v>
      </c>
      <c r="AH2" s="6"/>
      <c r="AI2" s="6"/>
      <c r="AK2" s="3" t="s">
        <v>2</v>
      </c>
      <c r="AO2" s="6" t="s">
        <v>3</v>
      </c>
      <c r="AP2" s="6" t="s">
        <v>32</v>
      </c>
      <c r="AQ2" s="6"/>
      <c r="AR2" s="6"/>
      <c r="AT2" s="3" t="s">
        <v>2</v>
      </c>
      <c r="AX2" s="6" t="s">
        <v>3</v>
      </c>
      <c r="AY2" s="6" t="s">
        <v>162</v>
      </c>
      <c r="AZ2" s="6"/>
      <c r="BA2" s="6"/>
    </row>
    <row r="3" spans="1:53" x14ac:dyDescent="0.2">
      <c r="A3" s="7">
        <v>1</v>
      </c>
      <c r="B3" s="6">
        <v>2</v>
      </c>
      <c r="C3" s="6">
        <v>3</v>
      </c>
      <c r="D3" s="6">
        <v>4</v>
      </c>
      <c r="E3" s="7">
        <v>1</v>
      </c>
      <c r="F3" s="6">
        <v>2</v>
      </c>
      <c r="G3" s="6">
        <v>3</v>
      </c>
      <c r="H3" s="6">
        <v>4</v>
      </c>
      <c r="J3" s="7">
        <v>1</v>
      </c>
      <c r="K3" s="6">
        <v>2</v>
      </c>
      <c r="L3" s="6">
        <v>3</v>
      </c>
      <c r="M3" s="6">
        <v>4</v>
      </c>
      <c r="N3" s="7">
        <v>1</v>
      </c>
      <c r="O3" s="6">
        <v>2</v>
      </c>
      <c r="P3" s="6">
        <v>3</v>
      </c>
      <c r="Q3" s="6">
        <v>4</v>
      </c>
      <c r="S3" s="7">
        <v>1</v>
      </c>
      <c r="T3" s="6">
        <v>2</v>
      </c>
      <c r="U3" s="6">
        <v>3</v>
      </c>
      <c r="V3" s="6">
        <v>4</v>
      </c>
      <c r="W3" s="7">
        <v>1</v>
      </c>
      <c r="X3" s="6">
        <v>2</v>
      </c>
      <c r="Y3" s="6">
        <v>3</v>
      </c>
      <c r="Z3" s="6">
        <v>4</v>
      </c>
      <c r="AB3" s="7">
        <v>1</v>
      </c>
      <c r="AC3" s="6">
        <v>2</v>
      </c>
      <c r="AD3" s="6">
        <v>3</v>
      </c>
      <c r="AE3" s="6">
        <v>4</v>
      </c>
      <c r="AF3" s="7">
        <v>1</v>
      </c>
      <c r="AG3" s="6">
        <v>2</v>
      </c>
      <c r="AH3" s="6">
        <v>3</v>
      </c>
      <c r="AI3" s="6">
        <v>4</v>
      </c>
      <c r="AK3" s="7">
        <v>1</v>
      </c>
      <c r="AL3" s="6">
        <v>2</v>
      </c>
      <c r="AM3" s="6">
        <v>3</v>
      </c>
      <c r="AN3" s="6">
        <v>4</v>
      </c>
      <c r="AO3" s="7">
        <v>1</v>
      </c>
      <c r="AP3" s="6">
        <v>2</v>
      </c>
      <c r="AQ3" s="6">
        <v>3</v>
      </c>
      <c r="AR3" s="6">
        <v>4</v>
      </c>
      <c r="AT3" s="7">
        <v>1</v>
      </c>
      <c r="AU3" s="6">
        <v>2</v>
      </c>
      <c r="AV3" s="6">
        <v>3</v>
      </c>
      <c r="AW3" s="6">
        <v>4</v>
      </c>
      <c r="AX3" s="7">
        <v>1</v>
      </c>
      <c r="AY3" s="6">
        <v>2</v>
      </c>
      <c r="AZ3" s="6">
        <v>3</v>
      </c>
      <c r="BA3" s="6">
        <v>4</v>
      </c>
    </row>
    <row r="4" spans="1:53" x14ac:dyDescent="0.2">
      <c r="A4">
        <f>315.30269058296/2</f>
        <v>157.65134529148</v>
      </c>
      <c r="B4">
        <f>315.30269058296/2</f>
        <v>157.65134529148</v>
      </c>
      <c r="C4">
        <v>154.14798206277999</v>
      </c>
      <c r="D4">
        <v>196.18834080716999</v>
      </c>
      <c r="E4">
        <f>(A4*100)/(60/89.2*1000)</f>
        <v>23.437500000000028</v>
      </c>
      <c r="F4">
        <f t="shared" ref="F4:H4" si="0">(B4*100)/(60/89.2*1000)</f>
        <v>23.437500000000028</v>
      </c>
      <c r="G4">
        <f t="shared" si="0"/>
        <v>22.916666666666625</v>
      </c>
      <c r="H4">
        <f t="shared" si="0"/>
        <v>29.16666666666594</v>
      </c>
      <c r="J4">
        <f>303.27004219409/2</f>
        <v>151.63502109704501</v>
      </c>
      <c r="K4">
        <f>303.27004219409/2</f>
        <v>151.63502109704501</v>
      </c>
      <c r="L4">
        <v>171.4135021097</v>
      </c>
      <c r="M4">
        <v>164.82067510549001</v>
      </c>
      <c r="N4">
        <f>(J4*100)/(60/94.8*1000)</f>
        <v>23.958333333333108</v>
      </c>
      <c r="O4">
        <f t="shared" ref="O4:O19" si="1">(K4*100)/(60/94.8*1000)</f>
        <v>23.958333333333108</v>
      </c>
      <c r="P4">
        <f t="shared" ref="P4:P19" si="2">(L4*100)/(60/94.8*1000)</f>
        <v>27.0833333333326</v>
      </c>
      <c r="Q4">
        <f t="shared" ref="Q4:Q19" si="3">(M4*100)/(60/94.8*1000)</f>
        <v>26.041666666667421</v>
      </c>
      <c r="S4">
        <v>177.72511848341</v>
      </c>
      <c r="T4">
        <f>236.96682464455/2</f>
        <v>118.483412322275</v>
      </c>
      <c r="U4">
        <f>236.96682464455/2</f>
        <v>118.483412322275</v>
      </c>
      <c r="V4">
        <v>195.49763033175</v>
      </c>
      <c r="W4">
        <f>(S4*100)/(60/105.5*1000)</f>
        <v>31.249999999999595</v>
      </c>
      <c r="X4">
        <f t="shared" ref="X4:X19" si="4">(T4*100)/(60/105.5*1000)</f>
        <v>20.833333333333353</v>
      </c>
      <c r="Y4">
        <f t="shared" ref="Y4:Y19" si="5">(U4*100)/(60/105.5*1000)</f>
        <v>20.833333333333353</v>
      </c>
      <c r="Z4">
        <f t="shared" ref="Z4:Z19" si="6">(V4*100)/(60/105.5*1000)</f>
        <v>34.374999999999375</v>
      </c>
      <c r="AB4">
        <f>348.40728100114/2</f>
        <v>174.20364050057</v>
      </c>
      <c r="AC4">
        <f>348.40728100114/2</f>
        <v>174.20364050057</v>
      </c>
      <c r="AD4">
        <v>142.20705346985</v>
      </c>
      <c r="AE4">
        <v>206.20022753129001</v>
      </c>
      <c r="AF4">
        <f>(AB4*100)/(60/87.9*1000)</f>
        <v>25.520833333333506</v>
      </c>
      <c r="AG4">
        <f t="shared" ref="AG4:AG19" si="7">(AC4*100)/(60/87.9*1000)</f>
        <v>25.520833333333506</v>
      </c>
      <c r="AH4">
        <f t="shared" ref="AH4:AH19" si="8">(AD4*100)/(60/87.9*1000)</f>
        <v>20.833333333333027</v>
      </c>
      <c r="AI4">
        <f t="shared" ref="AI4:AI19" si="9">(AE4*100)/(60/87.9*1000)</f>
        <v>30.208333333333986</v>
      </c>
      <c r="AK4">
        <f>294.64285714286/2</f>
        <v>147.32142857143</v>
      </c>
      <c r="AL4">
        <f>294.64285714286/2</f>
        <v>147.32142857143</v>
      </c>
      <c r="AM4">
        <v>165.17857142857</v>
      </c>
      <c r="AO4">
        <f t="shared" ref="AO4:AO15" si="10">(AK4*100)/(60/140*1000)</f>
        <v>34.375000000000334</v>
      </c>
      <c r="AP4">
        <f t="shared" ref="AP4:AP6" si="11">(AL4*100)/(60/140*1000)</f>
        <v>34.375000000000334</v>
      </c>
      <c r="AQ4">
        <f t="shared" ref="AQ4:AQ6" si="12">(AM4*100)/(60/140*1000)</f>
        <v>38.54166666666633</v>
      </c>
      <c r="AT4">
        <v>185.43956043956049</v>
      </c>
      <c r="AU4">
        <v>171.7032967032967</v>
      </c>
      <c r="AV4">
        <v>157.96703296703291</v>
      </c>
      <c r="AW4">
        <v>137.36263736263729</v>
      </c>
      <c r="AX4">
        <v>28.125</v>
      </c>
      <c r="AY4">
        <v>26.041666666666661</v>
      </c>
      <c r="AZ4">
        <v>23.958333333333329</v>
      </c>
      <c r="BA4">
        <v>20.833333333333329</v>
      </c>
    </row>
    <row r="5" spans="1:53" x14ac:dyDescent="0.2">
      <c r="A5">
        <f>315.30269058296/2</f>
        <v>157.65134529148</v>
      </c>
      <c r="B5">
        <f>315.30269058296/2</f>
        <v>157.65134529148</v>
      </c>
      <c r="C5">
        <v>168.16143497758</v>
      </c>
      <c r="D5">
        <v>210.20179372197001</v>
      </c>
      <c r="E5">
        <f t="shared" ref="E5:E15" si="13">(A5*100)/(60/89.2*1000)</f>
        <v>23.437500000000028</v>
      </c>
      <c r="F5">
        <f t="shared" ref="F5:F16" si="14">(B5*100)/(60/89.2*1000)</f>
        <v>23.437500000000028</v>
      </c>
      <c r="G5">
        <f t="shared" ref="G5:G16" si="15">(C5*100)/(60/89.2*1000)</f>
        <v>25.000000000000227</v>
      </c>
      <c r="H5">
        <f t="shared" ref="H5:H16" si="16">(D5*100)/(60/89.2*1000)</f>
        <v>31.249999999999542</v>
      </c>
      <c r="J5">
        <f>323.04852320675/2</f>
        <v>161.52426160337501</v>
      </c>
      <c r="K5">
        <f>323.04852320675/2</f>
        <v>161.52426160337501</v>
      </c>
      <c r="L5">
        <v>138.44936708860999</v>
      </c>
      <c r="M5">
        <v>178.00632911392</v>
      </c>
      <c r="N5">
        <f t="shared" ref="N5:N19" si="17">(J5*100)/(60/94.8*1000)</f>
        <v>25.52083333333325</v>
      </c>
      <c r="O5">
        <f t="shared" si="1"/>
        <v>25.52083333333325</v>
      </c>
      <c r="P5">
        <f t="shared" si="2"/>
        <v>21.875000000000377</v>
      </c>
      <c r="Q5">
        <f t="shared" si="3"/>
        <v>28.124999999999357</v>
      </c>
      <c r="S5">
        <f>231.04265402844/2</f>
        <v>115.52132701422001</v>
      </c>
      <c r="T5">
        <f>231.04265402844/2</f>
        <v>115.52132701422001</v>
      </c>
      <c r="U5">
        <f>308.05687203791/2</f>
        <v>154.02843601895501</v>
      </c>
      <c r="V5">
        <f>308.05687203791/2</f>
        <v>154.02843601895501</v>
      </c>
      <c r="W5">
        <f t="shared" ref="W5:W19" si="18">(S5*100)/(60/105.5*1000)</f>
        <v>20.312500000000352</v>
      </c>
      <c r="X5">
        <f t="shared" si="4"/>
        <v>20.312500000000352</v>
      </c>
      <c r="Y5">
        <f t="shared" si="5"/>
        <v>27.08333333333292</v>
      </c>
      <c r="Z5">
        <f t="shared" si="6"/>
        <v>27.08333333333292</v>
      </c>
      <c r="AB5">
        <f>334.18657565415/2</f>
        <v>167.09328782707499</v>
      </c>
      <c r="AC5">
        <f>334.18657565415/2</f>
        <v>167.09328782707499</v>
      </c>
      <c r="AD5">
        <v>163.53811149033001</v>
      </c>
      <c r="AE5">
        <v>177.75881683732001</v>
      </c>
      <c r="AF5">
        <f t="shared" ref="AF5:AF19" si="19">(AB5*100)/(60/87.9*1000)</f>
        <v>24.479166666666487</v>
      </c>
      <c r="AG5">
        <f t="shared" si="7"/>
        <v>24.479166666666487</v>
      </c>
      <c r="AH5">
        <f t="shared" si="8"/>
        <v>23.958333333333346</v>
      </c>
      <c r="AI5">
        <f t="shared" si="9"/>
        <v>26.041666666667382</v>
      </c>
      <c r="AK5">
        <f>156.25</f>
        <v>156.25</v>
      </c>
      <c r="AL5">
        <v>116.07142857143</v>
      </c>
      <c r="AM5">
        <v>129.46428571429001</v>
      </c>
      <c r="AO5">
        <f t="shared" si="10"/>
        <v>36.458333333333336</v>
      </c>
      <c r="AP5">
        <f t="shared" si="11"/>
        <v>27.08333333333367</v>
      </c>
      <c r="AQ5">
        <f t="shared" si="12"/>
        <v>30.208333333334338</v>
      </c>
      <c r="AT5">
        <v>192.30769230769241</v>
      </c>
      <c r="AU5">
        <v>185.43956043956041</v>
      </c>
      <c r="AV5">
        <v>157.96703296703299</v>
      </c>
      <c r="AW5">
        <v>144.23076923076931</v>
      </c>
      <c r="AX5">
        <v>29.166666666666671</v>
      </c>
      <c r="AY5">
        <v>28.124999999999989</v>
      </c>
      <c r="AZ5">
        <v>23.958333333333339</v>
      </c>
      <c r="BA5">
        <v>21.875000000000011</v>
      </c>
    </row>
    <row r="6" spans="1:53" x14ac:dyDescent="0.2">
      <c r="A6">
        <f>287.27578475336/2</f>
        <v>143.63789237668001</v>
      </c>
      <c r="B6">
        <f>287.27578475336/2</f>
        <v>143.63789237668001</v>
      </c>
      <c r="C6">
        <v>182.17488789238001</v>
      </c>
      <c r="D6">
        <v>189.18161434978001</v>
      </c>
      <c r="E6">
        <f t="shared" si="13"/>
        <v>21.35416666666643</v>
      </c>
      <c r="F6">
        <f t="shared" si="14"/>
        <v>21.35416666666643</v>
      </c>
      <c r="G6">
        <f t="shared" si="15"/>
        <v>27.083333333333833</v>
      </c>
      <c r="H6">
        <f t="shared" si="16"/>
        <v>28.125000000000629</v>
      </c>
      <c r="J6">
        <f>276.89873417722/2</f>
        <v>138.44936708860999</v>
      </c>
      <c r="K6">
        <f>276.89873417722/2</f>
        <v>138.44936708860999</v>
      </c>
      <c r="L6">
        <v>184.59915611814</v>
      </c>
      <c r="M6">
        <v>171.4135021097</v>
      </c>
      <c r="N6">
        <f t="shared" si="17"/>
        <v>21.875000000000377</v>
      </c>
      <c r="O6">
        <f t="shared" si="1"/>
        <v>21.875000000000377</v>
      </c>
      <c r="P6">
        <f t="shared" si="2"/>
        <v>29.166666666666121</v>
      </c>
      <c r="Q6">
        <f t="shared" si="3"/>
        <v>27.0833333333326</v>
      </c>
      <c r="S6">
        <f>260.663507109/2</f>
        <v>130.33175355450001</v>
      </c>
      <c r="T6">
        <f>260.663507109/2</f>
        <v>130.33175355450001</v>
      </c>
      <c r="U6">
        <v>177.72511848341</v>
      </c>
      <c r="V6">
        <v>136.25592417062001</v>
      </c>
      <c r="W6">
        <f t="shared" si="18"/>
        <v>22.916666666666252</v>
      </c>
      <c r="X6">
        <f t="shared" si="4"/>
        <v>22.916666666666252</v>
      </c>
      <c r="Y6">
        <f t="shared" si="5"/>
        <v>31.249999999999595</v>
      </c>
      <c r="Z6">
        <f t="shared" si="6"/>
        <v>23.958333333334018</v>
      </c>
      <c r="AB6">
        <v>177.75881683731001</v>
      </c>
      <c r="AC6">
        <v>170.64846416381999</v>
      </c>
      <c r="AD6">
        <v>156.42775881684</v>
      </c>
      <c r="AE6">
        <v>191.97952218430001</v>
      </c>
      <c r="AF6">
        <f t="shared" si="19"/>
        <v>26.041666666665915</v>
      </c>
      <c r="AG6">
        <f t="shared" si="7"/>
        <v>24.999999999999631</v>
      </c>
      <c r="AH6">
        <f t="shared" si="8"/>
        <v>22.916666666667059</v>
      </c>
      <c r="AI6">
        <f t="shared" si="9"/>
        <v>28.12499999999995</v>
      </c>
      <c r="AK6">
        <f>187.5</f>
        <v>187.5</v>
      </c>
      <c r="AL6">
        <v>89.285714285713993</v>
      </c>
      <c r="AM6">
        <v>147.32142857143</v>
      </c>
      <c r="AO6">
        <f t="shared" si="10"/>
        <v>43.75</v>
      </c>
      <c r="AP6">
        <f t="shared" si="11"/>
        <v>20.833333333333265</v>
      </c>
      <c r="AQ6">
        <f t="shared" si="12"/>
        <v>34.375000000000334</v>
      </c>
      <c r="AT6">
        <v>171.7032967032967</v>
      </c>
      <c r="AU6">
        <v>164.83516483516499</v>
      </c>
      <c r="AV6">
        <v>164.83516483516499</v>
      </c>
      <c r="AW6">
        <v>151.098901098901</v>
      </c>
      <c r="AX6">
        <v>26.041666666666661</v>
      </c>
      <c r="AY6">
        <v>25.000000000000021</v>
      </c>
      <c r="AZ6">
        <v>25.000000000000021</v>
      </c>
      <c r="BA6">
        <v>22.91666666666665</v>
      </c>
    </row>
    <row r="7" spans="1:53" x14ac:dyDescent="0.2">
      <c r="A7">
        <f>294.28251121076/2</f>
        <v>147.14125560538</v>
      </c>
      <c r="B7">
        <f>294.28251121076/2</f>
        <v>147.14125560538</v>
      </c>
      <c r="C7">
        <v>189.18161434978001</v>
      </c>
      <c r="D7">
        <v>203.19506726457001</v>
      </c>
      <c r="E7">
        <f t="shared" si="13"/>
        <v>21.874999999999826</v>
      </c>
      <c r="F7">
        <f t="shared" si="14"/>
        <v>21.874999999999826</v>
      </c>
      <c r="G7">
        <f t="shared" si="15"/>
        <v>28.125000000000629</v>
      </c>
      <c r="H7">
        <f t="shared" si="16"/>
        <v>30.208333333332746</v>
      </c>
      <c r="J7">
        <v>145.04219409282999</v>
      </c>
      <c r="K7">
        <v>138.44936708860999</v>
      </c>
      <c r="L7">
        <v>164.82067510549001</v>
      </c>
      <c r="M7">
        <v>184.59915611814</v>
      </c>
      <c r="N7">
        <f t="shared" si="17"/>
        <v>22.916666666667137</v>
      </c>
      <c r="O7">
        <f t="shared" si="1"/>
        <v>21.875000000000377</v>
      </c>
      <c r="P7">
        <f t="shared" si="2"/>
        <v>26.041666666667421</v>
      </c>
      <c r="Q7">
        <f t="shared" si="3"/>
        <v>29.166666666666121</v>
      </c>
      <c r="S7">
        <f>278.43601895735/2</f>
        <v>139.21800947867499</v>
      </c>
      <c r="T7">
        <f>278.43601895735/2</f>
        <v>139.21800947867499</v>
      </c>
      <c r="U7">
        <f>296.20853080569/2</f>
        <v>148.10426540284499</v>
      </c>
      <c r="V7">
        <f>296.20853080569/2</f>
        <v>148.10426540284499</v>
      </c>
      <c r="W7">
        <f t="shared" si="18"/>
        <v>24.47916666666702</v>
      </c>
      <c r="X7">
        <f t="shared" si="4"/>
        <v>24.47916666666702</v>
      </c>
      <c r="Y7">
        <f t="shared" si="5"/>
        <v>26.041666666666913</v>
      </c>
      <c r="Z7">
        <f t="shared" si="6"/>
        <v>26.041666666666913</v>
      </c>
      <c r="AB7">
        <v>191.97952218430001</v>
      </c>
      <c r="AC7">
        <v>135.09670079636001</v>
      </c>
      <c r="AD7">
        <v>156.42775881684</v>
      </c>
      <c r="AE7">
        <v>191.97952218430001</v>
      </c>
      <c r="AF7">
        <f t="shared" si="19"/>
        <v>28.12499999999995</v>
      </c>
      <c r="AG7">
        <f t="shared" si="7"/>
        <v>19.791666666666742</v>
      </c>
      <c r="AH7">
        <f t="shared" si="8"/>
        <v>22.916666666667059</v>
      </c>
      <c r="AI7">
        <f t="shared" si="9"/>
        <v>28.12499999999995</v>
      </c>
      <c r="AK7">
        <v>116.07142857143</v>
      </c>
      <c r="AL7">
        <v>89.285714285713993</v>
      </c>
      <c r="AM7">
        <v>107.14285714286</v>
      </c>
      <c r="AN7">
        <v>116.07142857143</v>
      </c>
      <c r="AO7">
        <f t="shared" si="10"/>
        <v>27.08333333333367</v>
      </c>
      <c r="AP7">
        <f>(AL7*100)/(60/140*1000)</f>
        <v>20.833333333333265</v>
      </c>
      <c r="AQ7">
        <f>(AM7*100)/(60/140*1000)</f>
        <v>25.000000000000664</v>
      </c>
      <c r="AR7">
        <f>(AN7*100)/(60/140*1000)</f>
        <v>27.08333333333367</v>
      </c>
      <c r="AT7">
        <v>185.43956043956041</v>
      </c>
      <c r="AU7">
        <v>178.57142857142841</v>
      </c>
      <c r="AV7">
        <v>144.23076923076911</v>
      </c>
      <c r="AW7">
        <v>144.23076923076911</v>
      </c>
      <c r="AX7">
        <v>28.124999999999989</v>
      </c>
      <c r="AY7">
        <v>27.083333333333311</v>
      </c>
      <c r="AZ7">
        <v>21.874999999999972</v>
      </c>
      <c r="BA7">
        <v>21.874999999999972</v>
      </c>
    </row>
    <row r="8" spans="1:53" x14ac:dyDescent="0.2">
      <c r="A8">
        <f>301.28923766816/2</f>
        <v>150.64461883408001</v>
      </c>
      <c r="B8">
        <f>301.28923766816/2</f>
        <v>150.64461883408001</v>
      </c>
      <c r="C8">
        <v>189.18161434978001</v>
      </c>
      <c r="D8">
        <v>189.18161434978001</v>
      </c>
      <c r="E8">
        <f t="shared" si="13"/>
        <v>22.395833333333229</v>
      </c>
      <c r="F8">
        <f t="shared" si="14"/>
        <v>22.395833333333229</v>
      </c>
      <c r="G8">
        <f t="shared" si="15"/>
        <v>28.125000000000629</v>
      </c>
      <c r="H8">
        <f t="shared" si="16"/>
        <v>28.125000000000629</v>
      </c>
      <c r="I8" s="11"/>
      <c r="J8">
        <f>276.89873417722/2</f>
        <v>138.44936708860999</v>
      </c>
      <c r="K8">
        <f>276.89873417722/2</f>
        <v>138.44936708860999</v>
      </c>
      <c r="L8">
        <v>178.00632911392</v>
      </c>
      <c r="M8">
        <v>164.82067510549001</v>
      </c>
      <c r="N8">
        <f t="shared" si="17"/>
        <v>21.875000000000377</v>
      </c>
      <c r="O8">
        <f t="shared" si="1"/>
        <v>21.875000000000377</v>
      </c>
      <c r="P8">
        <f t="shared" si="2"/>
        <v>28.124999999999357</v>
      </c>
      <c r="Q8">
        <f t="shared" si="3"/>
        <v>26.041666666667421</v>
      </c>
      <c r="S8">
        <v>136.25592417062001</v>
      </c>
      <c r="T8">
        <f>296.20853080569/2</f>
        <v>148.10426540284499</v>
      </c>
      <c r="U8">
        <f>296.20853080569/2</f>
        <v>148.10426540284499</v>
      </c>
      <c r="V8">
        <v>171.80094786730001</v>
      </c>
      <c r="W8">
        <f t="shared" si="18"/>
        <v>23.958333333334018</v>
      </c>
      <c r="X8">
        <f t="shared" si="4"/>
        <v>26.041666666666913</v>
      </c>
      <c r="Y8">
        <f t="shared" si="5"/>
        <v>26.041666666666913</v>
      </c>
      <c r="Z8">
        <f t="shared" si="6"/>
        <v>30.208333333333588</v>
      </c>
      <c r="AB8">
        <v>170.64846416381999</v>
      </c>
      <c r="AC8">
        <v>156.42775881684</v>
      </c>
      <c r="AD8">
        <v>156.42775881684</v>
      </c>
      <c r="AE8">
        <v>191.97952218430001</v>
      </c>
      <c r="AF8">
        <f t="shared" si="19"/>
        <v>24.999999999999631</v>
      </c>
      <c r="AG8">
        <f t="shared" si="7"/>
        <v>22.916666666667059</v>
      </c>
      <c r="AH8">
        <f t="shared" si="8"/>
        <v>22.916666666667059</v>
      </c>
      <c r="AI8">
        <f t="shared" si="9"/>
        <v>28.12499999999995</v>
      </c>
      <c r="AK8">
        <f>285.71428571429/2</f>
        <v>142.85714285714499</v>
      </c>
      <c r="AL8">
        <f>285.71428571429/2</f>
        <v>142.85714285714499</v>
      </c>
      <c r="AM8">
        <v>174.10714285713999</v>
      </c>
      <c r="AO8">
        <f t="shared" si="10"/>
        <v>33.333333333333833</v>
      </c>
      <c r="AP8">
        <f t="shared" ref="AP8:AQ15" si="20">(AL8*100)/(60/140*1000)</f>
        <v>33.333333333333833</v>
      </c>
      <c r="AQ8">
        <f t="shared" si="20"/>
        <v>40.624999999999332</v>
      </c>
      <c r="AT8">
        <v>185.43956043956041</v>
      </c>
      <c r="AU8">
        <v>164.83516483516499</v>
      </c>
      <c r="AV8">
        <v>185.43956043956041</v>
      </c>
      <c r="AW8">
        <v>116.7582417582416</v>
      </c>
      <c r="AX8">
        <v>28.124999999999989</v>
      </c>
      <c r="AY8">
        <v>25.000000000000021</v>
      </c>
      <c r="AZ8">
        <v>28.124999999999989</v>
      </c>
      <c r="BA8">
        <v>17.708333333333311</v>
      </c>
    </row>
    <row r="9" spans="1:53" x14ac:dyDescent="0.2">
      <c r="A9">
        <f>287.27578475336/2</f>
        <v>143.63789237668001</v>
      </c>
      <c r="B9">
        <f>287.27578475336/2</f>
        <v>143.63789237668001</v>
      </c>
      <c r="C9">
        <v>182.17488789238001</v>
      </c>
      <c r="D9">
        <v>196.18834080716999</v>
      </c>
      <c r="E9">
        <f t="shared" si="13"/>
        <v>21.35416666666643</v>
      </c>
      <c r="F9">
        <f t="shared" si="14"/>
        <v>21.35416666666643</v>
      </c>
      <c r="G9">
        <f t="shared" si="15"/>
        <v>27.083333333333833</v>
      </c>
      <c r="H9">
        <f t="shared" si="16"/>
        <v>29.16666666666594</v>
      </c>
      <c r="J9">
        <v>164.82067510549001</v>
      </c>
      <c r="K9">
        <v>125.26371308017001</v>
      </c>
      <c r="L9">
        <v>171.41350210971001</v>
      </c>
      <c r="M9">
        <v>184.59915611814</v>
      </c>
      <c r="N9">
        <f t="shared" si="17"/>
        <v>26.041666666667421</v>
      </c>
      <c r="O9">
        <f t="shared" si="1"/>
        <v>19.79166666666686</v>
      </c>
      <c r="P9">
        <f t="shared" si="2"/>
        <v>27.083333333334181</v>
      </c>
      <c r="Q9">
        <f t="shared" si="3"/>
        <v>29.166666666666121</v>
      </c>
      <c r="S9">
        <f>236.96682464455/2</f>
        <v>118.483412322275</v>
      </c>
      <c r="T9">
        <f>236.96682464455/2</f>
        <v>118.483412322275</v>
      </c>
      <c r="U9">
        <v>171.80094786730001</v>
      </c>
      <c r="V9">
        <v>136.25592417062001</v>
      </c>
      <c r="W9">
        <f t="shared" si="18"/>
        <v>20.833333333333353</v>
      </c>
      <c r="X9">
        <f t="shared" si="4"/>
        <v>20.833333333333353</v>
      </c>
      <c r="Y9">
        <f t="shared" si="5"/>
        <v>30.208333333333588</v>
      </c>
      <c r="Z9">
        <f t="shared" si="6"/>
        <v>23.958333333334018</v>
      </c>
      <c r="AB9">
        <v>163.53811149033001</v>
      </c>
      <c r="AC9">
        <v>156.42775881684</v>
      </c>
      <c r="AD9">
        <v>170.64846416381999</v>
      </c>
      <c r="AE9">
        <v>191.97952218430001</v>
      </c>
      <c r="AF9">
        <f t="shared" si="19"/>
        <v>23.958333333333346</v>
      </c>
      <c r="AG9">
        <f t="shared" si="7"/>
        <v>22.916666666667059</v>
      </c>
      <c r="AH9">
        <f t="shared" si="8"/>
        <v>24.999999999999631</v>
      </c>
      <c r="AI9">
        <f t="shared" si="9"/>
        <v>28.12499999999995</v>
      </c>
      <c r="AK9">
        <f>156.25</f>
        <v>156.25</v>
      </c>
      <c r="AL9">
        <v>102.67857142857</v>
      </c>
      <c r="AM9">
        <v>138.39285714286001</v>
      </c>
      <c r="AO9">
        <f t="shared" si="10"/>
        <v>36.458333333333336</v>
      </c>
      <c r="AP9">
        <f t="shared" si="20"/>
        <v>23.958333333332998</v>
      </c>
      <c r="AQ9">
        <f t="shared" si="20"/>
        <v>32.291666666667339</v>
      </c>
      <c r="AT9">
        <v>185.43956043956041</v>
      </c>
      <c r="AU9">
        <v>178.57142857142841</v>
      </c>
      <c r="AV9">
        <v>157.96703296703299</v>
      </c>
      <c r="AW9">
        <v>144.23076923076911</v>
      </c>
      <c r="AX9">
        <v>28.124999999999989</v>
      </c>
      <c r="AY9">
        <v>27.083333333333311</v>
      </c>
      <c r="AZ9">
        <v>23.958333333333339</v>
      </c>
      <c r="BA9">
        <v>21.874999999999972</v>
      </c>
    </row>
    <row r="10" spans="1:53" x14ac:dyDescent="0.2">
      <c r="A10">
        <f>287.27578475336/2</f>
        <v>143.63789237668001</v>
      </c>
      <c r="B10">
        <f>287.27578475336/2</f>
        <v>143.63789237668001</v>
      </c>
      <c r="C10">
        <v>182.17488789238001</v>
      </c>
      <c r="D10">
        <v>196.18834080716999</v>
      </c>
      <c r="E10">
        <f t="shared" si="13"/>
        <v>21.35416666666643</v>
      </c>
      <c r="F10">
        <f t="shared" si="14"/>
        <v>21.35416666666643</v>
      </c>
      <c r="G10">
        <f t="shared" si="15"/>
        <v>27.083333333333833</v>
      </c>
      <c r="H10">
        <f t="shared" si="16"/>
        <v>29.16666666666594</v>
      </c>
      <c r="J10">
        <v>138.44936708860999</v>
      </c>
      <c r="K10">
        <v>131.85654008438999</v>
      </c>
      <c r="L10">
        <v>178.00632911392</v>
      </c>
      <c r="M10">
        <v>178.00632911392</v>
      </c>
      <c r="N10">
        <f t="shared" si="17"/>
        <v>21.875000000000377</v>
      </c>
      <c r="O10">
        <f t="shared" si="1"/>
        <v>20.83333333333362</v>
      </c>
      <c r="P10">
        <f t="shared" si="2"/>
        <v>28.124999999999357</v>
      </c>
      <c r="Q10">
        <f t="shared" si="3"/>
        <v>28.124999999999357</v>
      </c>
      <c r="S10">
        <f>254.73933649289/2</f>
        <v>127.369668246445</v>
      </c>
      <c r="T10">
        <f>254.73933649289/2</f>
        <v>127.369668246445</v>
      </c>
      <c r="U10">
        <v>148.10426540284001</v>
      </c>
      <c r="V10">
        <v>159.95260663507</v>
      </c>
      <c r="W10">
        <f t="shared" si="18"/>
        <v>22.395833333333247</v>
      </c>
      <c r="X10">
        <f t="shared" si="4"/>
        <v>22.395833333333247</v>
      </c>
      <c r="Y10">
        <f t="shared" si="5"/>
        <v>26.041666666666035</v>
      </c>
      <c r="Z10">
        <f t="shared" si="6"/>
        <v>28.124999999999812</v>
      </c>
      <c r="AB10">
        <v>184.86916951081</v>
      </c>
      <c r="AC10">
        <v>149.31740614334001</v>
      </c>
      <c r="AD10">
        <v>163.53811149033001</v>
      </c>
      <c r="AE10">
        <v>191.97952218430001</v>
      </c>
      <c r="AF10">
        <f t="shared" si="19"/>
        <v>27.083333333333663</v>
      </c>
      <c r="AG10">
        <f t="shared" si="7"/>
        <v>21.874999999999311</v>
      </c>
      <c r="AH10">
        <f t="shared" si="8"/>
        <v>23.958333333333346</v>
      </c>
      <c r="AI10">
        <f t="shared" si="9"/>
        <v>28.12499999999995</v>
      </c>
      <c r="AK10">
        <v>138.39285714286001</v>
      </c>
      <c r="AL10">
        <f>156.25</f>
        <v>156.25</v>
      </c>
      <c r="AM10">
        <v>133.92857142857</v>
      </c>
      <c r="AO10">
        <f t="shared" si="10"/>
        <v>32.291666666667339</v>
      </c>
      <c r="AP10">
        <f t="shared" si="20"/>
        <v>36.458333333333336</v>
      </c>
      <c r="AQ10">
        <f t="shared" si="20"/>
        <v>31.249999999999666</v>
      </c>
      <c r="AT10">
        <v>185.43956043956041</v>
      </c>
      <c r="AU10">
        <v>164.83516483516451</v>
      </c>
      <c r="AV10">
        <v>164.83516483516451</v>
      </c>
      <c r="AW10">
        <v>130.4945054945056</v>
      </c>
      <c r="AX10">
        <v>28.124999999999989</v>
      </c>
      <c r="AY10">
        <v>24.99999999999995</v>
      </c>
      <c r="AZ10">
        <v>24.99999999999995</v>
      </c>
      <c r="BA10">
        <v>19.791666666666679</v>
      </c>
    </row>
    <row r="11" spans="1:53" x14ac:dyDescent="0.2">
      <c r="A11">
        <f>315.30269058296/2</f>
        <v>157.65134529148</v>
      </c>
      <c r="B11">
        <f>315.30269058296/2</f>
        <v>157.65134529148</v>
      </c>
      <c r="C11">
        <v>154.14798206277999</v>
      </c>
      <c r="D11">
        <v>196.18834080716999</v>
      </c>
      <c r="E11">
        <f t="shared" si="13"/>
        <v>23.437500000000028</v>
      </c>
      <c r="F11">
        <f t="shared" si="14"/>
        <v>23.437500000000028</v>
      </c>
      <c r="G11">
        <f t="shared" si="15"/>
        <v>22.916666666666625</v>
      </c>
      <c r="H11">
        <f t="shared" si="16"/>
        <v>29.16666666666594</v>
      </c>
      <c r="J11">
        <f>276.89873417722/2</f>
        <v>138.44936708860999</v>
      </c>
      <c r="K11">
        <f>276.89873417722/2</f>
        <v>138.44936708860999</v>
      </c>
      <c r="L11">
        <v>178.00632911392</v>
      </c>
      <c r="M11">
        <v>178.00632911392</v>
      </c>
      <c r="N11">
        <f t="shared" si="17"/>
        <v>21.875000000000377</v>
      </c>
      <c r="O11">
        <f t="shared" si="1"/>
        <v>21.875000000000377</v>
      </c>
      <c r="P11">
        <f t="shared" si="2"/>
        <v>28.124999999999357</v>
      </c>
      <c r="Q11">
        <f t="shared" si="3"/>
        <v>28.124999999999357</v>
      </c>
      <c r="S11">
        <v>154.02843601896001</v>
      </c>
      <c r="T11">
        <v>106.63507109005</v>
      </c>
      <c r="U11">
        <v>148.10426540284001</v>
      </c>
      <c r="V11">
        <v>154.02843601896001</v>
      </c>
      <c r="W11">
        <f t="shared" si="18"/>
        <v>27.083333333333801</v>
      </c>
      <c r="X11">
        <f t="shared" si="4"/>
        <v>18.750000000000458</v>
      </c>
      <c r="Y11">
        <f t="shared" si="5"/>
        <v>26.041666666666035</v>
      </c>
      <c r="Z11">
        <f t="shared" si="6"/>
        <v>27.083333333333801</v>
      </c>
      <c r="AB11">
        <v>170.64846416381999</v>
      </c>
      <c r="AC11">
        <v>142.20705346985</v>
      </c>
      <c r="AD11">
        <v>163.53811149033001</v>
      </c>
      <c r="AE11">
        <v>191.97952218430001</v>
      </c>
      <c r="AF11">
        <f t="shared" si="19"/>
        <v>24.999999999999631</v>
      </c>
      <c r="AG11">
        <f t="shared" si="7"/>
        <v>20.833333333333027</v>
      </c>
      <c r="AH11">
        <f t="shared" si="8"/>
        <v>23.958333333333346</v>
      </c>
      <c r="AI11">
        <f t="shared" si="9"/>
        <v>28.12499999999995</v>
      </c>
      <c r="AK11">
        <v>116.07142857143</v>
      </c>
      <c r="AL11">
        <v>98.214285714286007</v>
      </c>
      <c r="AM11">
        <v>75.892857142856997</v>
      </c>
      <c r="AN11">
        <v>138.39285714286001</v>
      </c>
      <c r="AO11">
        <f t="shared" si="10"/>
        <v>27.08333333333367</v>
      </c>
      <c r="AP11">
        <f t="shared" si="20"/>
        <v>22.916666666666739</v>
      </c>
      <c r="AQ11">
        <f t="shared" si="20"/>
        <v>17.7083333333333</v>
      </c>
      <c r="AR11">
        <f>(AN11*100)/(60/140*1000)</f>
        <v>32.291666666667339</v>
      </c>
      <c r="AT11">
        <v>185.43956043956041</v>
      </c>
      <c r="AU11">
        <v>164.83516483516451</v>
      </c>
      <c r="AV11">
        <v>171.7032967032965</v>
      </c>
      <c r="AW11">
        <v>151.09890109890151</v>
      </c>
      <c r="AX11">
        <v>28.124999999999989</v>
      </c>
      <c r="AY11">
        <v>24.99999999999995</v>
      </c>
      <c r="AZ11">
        <v>26.041666666666629</v>
      </c>
      <c r="BA11">
        <v>22.916666666666721</v>
      </c>
    </row>
    <row r="12" spans="1:53" x14ac:dyDescent="0.2">
      <c r="A12">
        <f>301.28923766816/2</f>
        <v>150.64461883408001</v>
      </c>
      <c r="B12">
        <f>301.28923766816/2</f>
        <v>150.64461883408001</v>
      </c>
      <c r="C12">
        <v>182.17488789238001</v>
      </c>
      <c r="D12">
        <v>189.18161434978001</v>
      </c>
      <c r="E12">
        <f t="shared" si="13"/>
        <v>22.395833333333229</v>
      </c>
      <c r="F12">
        <f t="shared" si="14"/>
        <v>22.395833333333229</v>
      </c>
      <c r="G12">
        <f t="shared" si="15"/>
        <v>27.083333333333833</v>
      </c>
      <c r="H12">
        <f t="shared" si="16"/>
        <v>28.125000000000629</v>
      </c>
      <c r="I12" s="11"/>
      <c r="J12">
        <f>296.67721518987/2</f>
        <v>148.33860759493501</v>
      </c>
      <c r="K12">
        <f>296.67721518987/2</f>
        <v>148.33860759493501</v>
      </c>
      <c r="L12">
        <v>171.41350210971001</v>
      </c>
      <c r="M12">
        <v>158.22784810127001</v>
      </c>
      <c r="N12">
        <f t="shared" si="17"/>
        <v>23.43749999999973</v>
      </c>
      <c r="O12">
        <f t="shared" si="1"/>
        <v>23.43749999999973</v>
      </c>
      <c r="P12">
        <f t="shared" si="2"/>
        <v>27.083333333334181</v>
      </c>
      <c r="Q12">
        <f t="shared" si="3"/>
        <v>25.000000000000661</v>
      </c>
      <c r="S12">
        <v>130.33175355450001</v>
      </c>
      <c r="T12">
        <v>142.18009478673</v>
      </c>
      <c r="U12">
        <v>148.10426540284001</v>
      </c>
      <c r="V12">
        <v>177.72511848341</v>
      </c>
      <c r="W12">
        <f t="shared" si="18"/>
        <v>22.916666666666252</v>
      </c>
      <c r="X12">
        <f t="shared" si="4"/>
        <v>25.000000000000025</v>
      </c>
      <c r="Y12">
        <f t="shared" si="5"/>
        <v>26.041666666666035</v>
      </c>
      <c r="Z12">
        <f t="shared" si="6"/>
        <v>31.249999999999595</v>
      </c>
      <c r="AB12">
        <v>184.86916951081</v>
      </c>
      <c r="AC12">
        <v>149.31740614334001</v>
      </c>
      <c r="AD12">
        <v>163.53811149033001</v>
      </c>
      <c r="AE12">
        <v>170.64846416381999</v>
      </c>
      <c r="AF12">
        <f t="shared" si="19"/>
        <v>27.083333333333663</v>
      </c>
      <c r="AG12">
        <f t="shared" si="7"/>
        <v>21.874999999999311</v>
      </c>
      <c r="AH12">
        <f t="shared" si="8"/>
        <v>23.958333333333346</v>
      </c>
      <c r="AI12">
        <f t="shared" si="9"/>
        <v>24.999999999999631</v>
      </c>
      <c r="AK12">
        <f>272.32142857143/2</f>
        <v>136.16071428571499</v>
      </c>
      <c r="AL12">
        <f>272.32142857143/2</f>
        <v>136.16071428571499</v>
      </c>
      <c r="AM12">
        <v>160.71428571429001</v>
      </c>
      <c r="AO12">
        <f t="shared" si="10"/>
        <v>31.770833333333499</v>
      </c>
      <c r="AP12">
        <f t="shared" si="20"/>
        <v>31.770833333333499</v>
      </c>
      <c r="AQ12">
        <f t="shared" si="20"/>
        <v>37.500000000001009</v>
      </c>
      <c r="AT12">
        <v>185.43956043956041</v>
      </c>
      <c r="AU12">
        <v>157.96703296703251</v>
      </c>
      <c r="AV12">
        <v>171.7032967032965</v>
      </c>
      <c r="AW12">
        <v>137.36263736263751</v>
      </c>
      <c r="AX12">
        <v>28.124999999999989</v>
      </c>
      <c r="AY12">
        <v>23.958333333333272</v>
      </c>
      <c r="AZ12">
        <v>26.041666666666629</v>
      </c>
      <c r="BA12">
        <v>20.833333333333361</v>
      </c>
    </row>
    <row r="13" spans="1:53" x14ac:dyDescent="0.2">
      <c r="A13">
        <f>294.28251121076/2</f>
        <v>147.14125560538</v>
      </c>
      <c r="B13">
        <f>294.28251121076/2</f>
        <v>147.14125560538</v>
      </c>
      <c r="C13">
        <v>189.18161434978001</v>
      </c>
      <c r="D13">
        <v>189.18161434978001</v>
      </c>
      <c r="E13">
        <f t="shared" si="13"/>
        <v>21.874999999999826</v>
      </c>
      <c r="F13">
        <f t="shared" si="14"/>
        <v>21.874999999999826</v>
      </c>
      <c r="G13">
        <f t="shared" si="15"/>
        <v>28.125000000000629</v>
      </c>
      <c r="H13">
        <f t="shared" si="16"/>
        <v>28.125000000000629</v>
      </c>
      <c r="J13">
        <v>151.63502109704999</v>
      </c>
      <c r="K13">
        <v>138.44936708860999</v>
      </c>
      <c r="L13">
        <v>178.00632911392</v>
      </c>
      <c r="M13">
        <v>164.82067510549001</v>
      </c>
      <c r="N13">
        <f t="shared" si="17"/>
        <v>23.958333333333897</v>
      </c>
      <c r="O13">
        <f t="shared" si="1"/>
        <v>21.875000000000377</v>
      </c>
      <c r="P13">
        <f t="shared" si="2"/>
        <v>28.124999999999357</v>
      </c>
      <c r="Q13">
        <f t="shared" si="3"/>
        <v>26.041666666667421</v>
      </c>
      <c r="S13">
        <f>248.81516587678/2</f>
        <v>124.40758293838999</v>
      </c>
      <c r="T13">
        <f>248.81516587678/2</f>
        <v>124.40758293838999</v>
      </c>
      <c r="U13">
        <f>302.1327014218/2</f>
        <v>151.0663507109</v>
      </c>
      <c r="V13">
        <f>302.1327014218/2</f>
        <v>151.0663507109</v>
      </c>
      <c r="W13">
        <f t="shared" si="18"/>
        <v>21.875000000000242</v>
      </c>
      <c r="X13">
        <f t="shared" si="4"/>
        <v>21.875000000000242</v>
      </c>
      <c r="Y13">
        <f t="shared" si="5"/>
        <v>26.562499999999918</v>
      </c>
      <c r="Z13">
        <f t="shared" si="6"/>
        <v>26.562499999999918</v>
      </c>
      <c r="AB13">
        <v>191.97952218430001</v>
      </c>
      <c r="AC13">
        <v>149.31740614334001</v>
      </c>
      <c r="AD13">
        <v>163.53811149033001</v>
      </c>
      <c r="AE13">
        <v>206.20022753128001</v>
      </c>
      <c r="AF13">
        <f t="shared" si="19"/>
        <v>28.12499999999995</v>
      </c>
      <c r="AG13">
        <f t="shared" si="7"/>
        <v>21.874999999999311</v>
      </c>
      <c r="AH13">
        <f t="shared" si="8"/>
        <v>23.958333333333346</v>
      </c>
      <c r="AI13">
        <f t="shared" si="9"/>
        <v>30.208333333332519</v>
      </c>
      <c r="AK13">
        <f>267.85714285714/2</f>
        <v>133.92857142857</v>
      </c>
      <c r="AL13">
        <f>267.85714285714/2</f>
        <v>133.92857142857</v>
      </c>
      <c r="AM13">
        <v>151.78571428570999</v>
      </c>
      <c r="AO13">
        <f t="shared" si="10"/>
        <v>31.249999999999666</v>
      </c>
      <c r="AP13">
        <f t="shared" si="20"/>
        <v>31.249999999999666</v>
      </c>
      <c r="AQ13">
        <f t="shared" si="20"/>
        <v>35.416666666665662</v>
      </c>
      <c r="AT13">
        <v>192.30769230769241</v>
      </c>
      <c r="AU13">
        <v>185.43956043956041</v>
      </c>
      <c r="AV13">
        <v>157.96703296703251</v>
      </c>
      <c r="AW13">
        <v>144.23076923076951</v>
      </c>
      <c r="AX13">
        <v>29.166666666666671</v>
      </c>
      <c r="AY13">
        <v>28.124999999999989</v>
      </c>
      <c r="AZ13">
        <v>23.958333333333272</v>
      </c>
      <c r="BA13">
        <v>21.875000000000039</v>
      </c>
    </row>
    <row r="14" spans="1:53" x14ac:dyDescent="0.2">
      <c r="A14">
        <f>287.27578475336/2</f>
        <v>143.63789237668001</v>
      </c>
      <c r="B14">
        <f>287.27578475336/2</f>
        <v>143.63789237668001</v>
      </c>
      <c r="C14">
        <v>196.18834080716999</v>
      </c>
      <c r="D14">
        <v>175.16816143497999</v>
      </c>
      <c r="E14">
        <f t="shared" si="13"/>
        <v>21.35416666666643</v>
      </c>
      <c r="F14">
        <f t="shared" si="14"/>
        <v>21.35416666666643</v>
      </c>
      <c r="G14">
        <f t="shared" si="15"/>
        <v>29.16666666666594</v>
      </c>
      <c r="H14">
        <f t="shared" si="16"/>
        <v>26.041666666667027</v>
      </c>
      <c r="J14">
        <f>290.08438818565/2</f>
        <v>145.04219409282501</v>
      </c>
      <c r="K14">
        <f>290.08438818565/2</f>
        <v>145.04219409282501</v>
      </c>
      <c r="L14">
        <v>158.22784810127001</v>
      </c>
      <c r="M14">
        <v>184.59915611814</v>
      </c>
      <c r="N14">
        <f t="shared" si="17"/>
        <v>22.916666666666352</v>
      </c>
      <c r="O14">
        <f t="shared" si="1"/>
        <v>22.916666666666352</v>
      </c>
      <c r="P14">
        <f t="shared" si="2"/>
        <v>25.000000000000661</v>
      </c>
      <c r="Q14">
        <f t="shared" si="3"/>
        <v>29.166666666666121</v>
      </c>
      <c r="S14">
        <f>254.73933649289/2</f>
        <v>127.369668246445</v>
      </c>
      <c r="T14">
        <f>254.73933649289/2</f>
        <v>127.369668246445</v>
      </c>
      <c r="U14">
        <v>165.87677725117999</v>
      </c>
      <c r="V14">
        <v>148.10426540284001</v>
      </c>
      <c r="W14">
        <f t="shared" si="18"/>
        <v>22.395833333333247</v>
      </c>
      <c r="X14">
        <f t="shared" si="4"/>
        <v>22.395833333333247</v>
      </c>
      <c r="Y14">
        <f t="shared" si="5"/>
        <v>29.166666666665815</v>
      </c>
      <c r="Z14">
        <f t="shared" si="6"/>
        <v>26.041666666666035</v>
      </c>
      <c r="AB14">
        <v>177.75881683732001</v>
      </c>
      <c r="AC14">
        <v>135.09670079636001</v>
      </c>
      <c r="AD14">
        <v>163.53811149033001</v>
      </c>
      <c r="AE14">
        <v>191.97952218430001</v>
      </c>
      <c r="AF14">
        <f t="shared" si="19"/>
        <v>26.041666666667382</v>
      </c>
      <c r="AG14">
        <f t="shared" si="7"/>
        <v>19.791666666666742</v>
      </c>
      <c r="AH14">
        <f t="shared" si="8"/>
        <v>23.958333333333346</v>
      </c>
      <c r="AI14">
        <f t="shared" si="9"/>
        <v>28.12499999999995</v>
      </c>
      <c r="AK14">
        <v>142.85714285713999</v>
      </c>
      <c r="AL14">
        <f>156.25</f>
        <v>156.25</v>
      </c>
      <c r="AM14">
        <v>133.92857142857</v>
      </c>
      <c r="AO14">
        <f t="shared" si="10"/>
        <v>33.333333333332668</v>
      </c>
      <c r="AP14">
        <f t="shared" si="20"/>
        <v>36.458333333333336</v>
      </c>
      <c r="AQ14">
        <f t="shared" si="20"/>
        <v>31.249999999999666</v>
      </c>
      <c r="AT14">
        <v>171.7032967032965</v>
      </c>
      <c r="AU14">
        <v>164.83516483516451</v>
      </c>
      <c r="AV14">
        <v>164.83516483516451</v>
      </c>
      <c r="AW14">
        <v>151.09890109890151</v>
      </c>
      <c r="AX14">
        <v>26.041666666666629</v>
      </c>
      <c r="AY14">
        <v>24.99999999999995</v>
      </c>
      <c r="AZ14">
        <v>24.99999999999995</v>
      </c>
      <c r="BA14">
        <v>22.916666666666721</v>
      </c>
    </row>
    <row r="15" spans="1:53" x14ac:dyDescent="0.2">
      <c r="A15">
        <f>308.29596412556/2</f>
        <v>154.14798206277999</v>
      </c>
      <c r="B15">
        <f>308.29596412556/2</f>
        <v>154.14798206277999</v>
      </c>
      <c r="C15">
        <v>182.17488789238001</v>
      </c>
      <c r="D15">
        <v>196.18834080718</v>
      </c>
      <c r="E15">
        <f t="shared" si="13"/>
        <v>22.916666666666625</v>
      </c>
      <c r="F15">
        <f t="shared" si="14"/>
        <v>22.916666666666625</v>
      </c>
      <c r="G15">
        <f t="shared" si="15"/>
        <v>27.083333333333833</v>
      </c>
      <c r="H15">
        <f t="shared" si="16"/>
        <v>29.166666666667428</v>
      </c>
      <c r="J15">
        <f>290.08438818565/2</f>
        <v>145.04219409282501</v>
      </c>
      <c r="K15">
        <f>290.08438818565/2</f>
        <v>145.04219409282501</v>
      </c>
      <c r="L15">
        <v>164.82067510549001</v>
      </c>
      <c r="M15">
        <v>178.00632911392</v>
      </c>
      <c r="N15">
        <f t="shared" si="17"/>
        <v>22.916666666666352</v>
      </c>
      <c r="O15">
        <f t="shared" si="1"/>
        <v>22.916666666666352</v>
      </c>
      <c r="P15">
        <f t="shared" si="2"/>
        <v>26.041666666667421</v>
      </c>
      <c r="Q15">
        <f t="shared" si="3"/>
        <v>28.124999999999357</v>
      </c>
      <c r="S15">
        <f>260.66350710901/2</f>
        <v>130.33175355450501</v>
      </c>
      <c r="T15">
        <f>260.66350710901/2</f>
        <v>130.33175355450501</v>
      </c>
      <c r="U15">
        <f>284.36018957346/2</f>
        <v>142.18009478673</v>
      </c>
      <c r="V15">
        <f>284.36018957346/2</f>
        <v>142.18009478673</v>
      </c>
      <c r="W15">
        <f t="shared" si="18"/>
        <v>22.916666666667133</v>
      </c>
      <c r="X15">
        <f t="shared" si="4"/>
        <v>22.916666666667133</v>
      </c>
      <c r="Y15">
        <f t="shared" si="5"/>
        <v>25.000000000000025</v>
      </c>
      <c r="Z15">
        <f t="shared" si="6"/>
        <v>25.000000000000025</v>
      </c>
      <c r="AB15">
        <v>191.97952218430001</v>
      </c>
      <c r="AC15">
        <v>142.20705346985</v>
      </c>
      <c r="AD15">
        <v>163.53811149033001</v>
      </c>
      <c r="AE15">
        <v>191.97952218430001</v>
      </c>
      <c r="AF15">
        <f t="shared" si="19"/>
        <v>28.12499999999995</v>
      </c>
      <c r="AG15">
        <f t="shared" si="7"/>
        <v>20.833333333333027</v>
      </c>
      <c r="AH15">
        <f t="shared" si="8"/>
        <v>23.958333333333346</v>
      </c>
      <c r="AI15">
        <f t="shared" si="9"/>
        <v>28.12499999999995</v>
      </c>
      <c r="AK15">
        <v>138.39285714286001</v>
      </c>
      <c r="AL15">
        <f>156.25</f>
        <v>156.25</v>
      </c>
      <c r="AM15">
        <v>133.92857142857</v>
      </c>
      <c r="AO15">
        <f t="shared" si="10"/>
        <v>32.291666666667339</v>
      </c>
      <c r="AP15">
        <f t="shared" si="20"/>
        <v>36.458333333333336</v>
      </c>
      <c r="AQ15">
        <f t="shared" si="20"/>
        <v>31.249999999999666</v>
      </c>
      <c r="AT15">
        <v>185.43956043956041</v>
      </c>
      <c r="AU15">
        <v>178.57142857142841</v>
      </c>
      <c r="AV15">
        <v>144.23076923076951</v>
      </c>
      <c r="AW15">
        <v>144.23076923076951</v>
      </c>
      <c r="AX15">
        <v>28.124999999999989</v>
      </c>
      <c r="AY15">
        <v>27.083333333333311</v>
      </c>
      <c r="AZ15">
        <v>21.875000000000039</v>
      </c>
      <c r="BA15">
        <v>21.875000000000039</v>
      </c>
    </row>
    <row r="16" spans="1:53" x14ac:dyDescent="0.2">
      <c r="A16">
        <f>315.30269058296/2</f>
        <v>157.65134529148</v>
      </c>
      <c r="B16">
        <f>315.30269058296/2</f>
        <v>157.65134529148</v>
      </c>
      <c r="C16">
        <v>189.18161434978001</v>
      </c>
      <c r="D16">
        <v>175.16816143497999</v>
      </c>
      <c r="E16">
        <f>(A16*100)/(60/89.2*1000)</f>
        <v>23.437500000000028</v>
      </c>
      <c r="F16">
        <f t="shared" si="14"/>
        <v>23.437500000000028</v>
      </c>
      <c r="G16">
        <f t="shared" si="15"/>
        <v>28.125000000000629</v>
      </c>
      <c r="H16">
        <f t="shared" si="16"/>
        <v>26.041666666667027</v>
      </c>
      <c r="I16" s="11"/>
      <c r="J16">
        <f>283.49156118144/2</f>
        <v>141.74578059071999</v>
      </c>
      <c r="K16">
        <f>283.49156118144/2</f>
        <v>141.74578059071999</v>
      </c>
      <c r="L16">
        <v>171.4135021097</v>
      </c>
      <c r="M16">
        <v>171.41350210971001</v>
      </c>
      <c r="N16">
        <f t="shared" si="17"/>
        <v>22.395833333333755</v>
      </c>
      <c r="O16">
        <f t="shared" si="1"/>
        <v>22.395833333333755</v>
      </c>
      <c r="P16">
        <f t="shared" si="2"/>
        <v>27.0833333333326</v>
      </c>
      <c r="Q16">
        <f t="shared" si="3"/>
        <v>27.083333333334181</v>
      </c>
      <c r="S16">
        <v>148.10426540284001</v>
      </c>
      <c r="T16">
        <v>124.40758293838999</v>
      </c>
      <c r="U16">
        <v>148.10426540284001</v>
      </c>
      <c r="V16">
        <v>136.25592417062001</v>
      </c>
      <c r="W16">
        <f t="shared" si="18"/>
        <v>26.041666666666035</v>
      </c>
      <c r="X16">
        <f t="shared" si="4"/>
        <v>21.875000000000242</v>
      </c>
      <c r="Y16">
        <f t="shared" si="5"/>
        <v>26.041666666666035</v>
      </c>
      <c r="Z16">
        <f t="shared" si="6"/>
        <v>23.958333333334018</v>
      </c>
      <c r="AB16">
        <v>177.75881683732001</v>
      </c>
      <c r="AC16">
        <v>149.31740614334001</v>
      </c>
      <c r="AD16">
        <v>163.53811149033001</v>
      </c>
      <c r="AE16">
        <v>199.08987485778999</v>
      </c>
      <c r="AF16">
        <f t="shared" si="19"/>
        <v>26.041666666667382</v>
      </c>
      <c r="AG16">
        <f t="shared" si="7"/>
        <v>21.874999999999311</v>
      </c>
      <c r="AH16">
        <f t="shared" si="8"/>
        <v>23.958333333333346</v>
      </c>
      <c r="AI16">
        <f t="shared" si="9"/>
        <v>29.166666666666234</v>
      </c>
      <c r="AT16">
        <v>185.43956043956041</v>
      </c>
      <c r="AU16">
        <v>164.83516483516539</v>
      </c>
      <c r="AV16">
        <v>185.43956043956129</v>
      </c>
      <c r="AW16">
        <v>116.7582417582416</v>
      </c>
      <c r="AX16">
        <v>28.124999999999989</v>
      </c>
      <c r="AY16">
        <v>25.000000000000089</v>
      </c>
      <c r="AZ16">
        <v>28.125000000000131</v>
      </c>
      <c r="BA16">
        <v>17.708333333333311</v>
      </c>
    </row>
    <row r="17" spans="1:53" x14ac:dyDescent="0.2">
      <c r="A17">
        <f>308.29596412556/2</f>
        <v>154.14798206277999</v>
      </c>
      <c r="B17">
        <f>308.29596412556/2</f>
        <v>154.14798206277999</v>
      </c>
      <c r="C17">
        <v>168.16143497758</v>
      </c>
      <c r="D17">
        <v>210.20179372197001</v>
      </c>
      <c r="E17">
        <f>(A17*100)/(60/89.2*1000)</f>
        <v>22.916666666666625</v>
      </c>
      <c r="F17">
        <f t="shared" ref="F17" si="21">(B17*100)/(60/89.2*1000)</f>
        <v>22.916666666666625</v>
      </c>
      <c r="G17">
        <f t="shared" ref="G17" si="22">(C17*100)/(60/89.2*1000)</f>
        <v>25.000000000000227</v>
      </c>
      <c r="H17">
        <f t="shared" ref="H17" si="23">(D17*100)/(60/89.2*1000)</f>
        <v>31.249999999999542</v>
      </c>
      <c r="J17">
        <f>290.08438818565/2</f>
        <v>145.04219409282501</v>
      </c>
      <c r="K17">
        <f>290.08438818565/2</f>
        <v>145.04219409282501</v>
      </c>
      <c r="L17">
        <v>178.00632911392</v>
      </c>
      <c r="M17">
        <v>171.4135021097</v>
      </c>
      <c r="N17">
        <f t="shared" si="17"/>
        <v>22.916666666666352</v>
      </c>
      <c r="O17">
        <f t="shared" si="1"/>
        <v>22.916666666666352</v>
      </c>
      <c r="P17">
        <f t="shared" si="2"/>
        <v>28.124999999999357</v>
      </c>
      <c r="Q17">
        <f t="shared" si="3"/>
        <v>27.0833333333326</v>
      </c>
      <c r="S17">
        <f>272.51184834123/2</f>
        <v>136.255924170615</v>
      </c>
      <c r="T17">
        <f>272.51184834123/2</f>
        <v>136.255924170615</v>
      </c>
      <c r="U17">
        <f>296.20853080569/2</f>
        <v>148.10426540284499</v>
      </c>
      <c r="V17">
        <f>296.20853080569/2</f>
        <v>148.10426540284499</v>
      </c>
      <c r="W17">
        <f t="shared" si="18"/>
        <v>23.958333333333137</v>
      </c>
      <c r="X17">
        <f t="shared" si="4"/>
        <v>23.958333333333137</v>
      </c>
      <c r="Y17">
        <f t="shared" si="5"/>
        <v>26.041666666666913</v>
      </c>
      <c r="Z17">
        <f t="shared" si="6"/>
        <v>26.041666666666913</v>
      </c>
      <c r="AB17">
        <v>184.86916951081</v>
      </c>
      <c r="AC17">
        <v>142.20705346985</v>
      </c>
      <c r="AD17">
        <v>156.42775881684</v>
      </c>
      <c r="AE17">
        <v>184.86916951081</v>
      </c>
      <c r="AF17">
        <f t="shared" si="19"/>
        <v>27.083333333333663</v>
      </c>
      <c r="AG17">
        <f t="shared" si="7"/>
        <v>20.833333333333027</v>
      </c>
      <c r="AH17">
        <f t="shared" si="8"/>
        <v>22.916666666667059</v>
      </c>
      <c r="AI17">
        <f t="shared" si="9"/>
        <v>27.083333333333663</v>
      </c>
      <c r="AT17">
        <v>185.43956043956129</v>
      </c>
      <c r="AU17">
        <v>178.57142857142941</v>
      </c>
      <c r="AV17">
        <v>157.96703296703339</v>
      </c>
      <c r="AW17">
        <v>144.23076923076951</v>
      </c>
      <c r="AX17">
        <v>28.125000000000131</v>
      </c>
      <c r="AY17">
        <v>27.083333333333449</v>
      </c>
      <c r="AZ17">
        <v>23.9583333333334</v>
      </c>
      <c r="BA17">
        <v>21.875000000000039</v>
      </c>
    </row>
    <row r="18" spans="1:53" x14ac:dyDescent="0.2">
      <c r="D18" s="8"/>
      <c r="J18">
        <f>283.49156118144/2</f>
        <v>141.74578059071999</v>
      </c>
      <c r="K18">
        <f>283.49156118144/2</f>
        <v>141.74578059071999</v>
      </c>
      <c r="L18">
        <v>164.82067510548001</v>
      </c>
      <c r="M18">
        <v>184.59915611814</v>
      </c>
      <c r="N18">
        <f t="shared" si="17"/>
        <v>22.395833333333755</v>
      </c>
      <c r="O18">
        <f t="shared" si="1"/>
        <v>22.395833333333755</v>
      </c>
      <c r="P18">
        <f t="shared" si="2"/>
        <v>26.04166666666584</v>
      </c>
      <c r="Q18">
        <f t="shared" si="3"/>
        <v>29.166666666666121</v>
      </c>
      <c r="S18">
        <f>248.81516587678/2</f>
        <v>124.40758293838999</v>
      </c>
      <c r="T18">
        <f>248.81516587678/2</f>
        <v>124.40758293838999</v>
      </c>
      <c r="U18">
        <v>165.87677725118999</v>
      </c>
      <c r="V18">
        <v>136.25592417062001</v>
      </c>
      <c r="W18">
        <f t="shared" si="18"/>
        <v>21.875000000000242</v>
      </c>
      <c r="X18">
        <f t="shared" si="4"/>
        <v>21.875000000000242</v>
      </c>
      <c r="Y18">
        <f t="shared" si="5"/>
        <v>29.166666666667574</v>
      </c>
      <c r="Z18">
        <f t="shared" si="6"/>
        <v>23.958333333334018</v>
      </c>
      <c r="AB18">
        <v>184.86916951081</v>
      </c>
      <c r="AC18">
        <v>156.42775881684</v>
      </c>
      <c r="AD18">
        <v>149.31740614334001</v>
      </c>
      <c r="AE18">
        <v>199.08987485778999</v>
      </c>
      <c r="AF18">
        <f t="shared" si="19"/>
        <v>27.083333333333663</v>
      </c>
      <c r="AG18">
        <f t="shared" si="7"/>
        <v>22.916666666667059</v>
      </c>
      <c r="AH18">
        <f t="shared" si="8"/>
        <v>21.874999999999311</v>
      </c>
      <c r="AI18">
        <f t="shared" si="9"/>
        <v>29.166666666666234</v>
      </c>
      <c r="AT18">
        <v>185.43956043956129</v>
      </c>
      <c r="AU18">
        <v>157.96703296703339</v>
      </c>
      <c r="AV18">
        <v>185.43956043956129</v>
      </c>
      <c r="AW18">
        <v>144.23076923076951</v>
      </c>
      <c r="AX18">
        <v>28.125000000000131</v>
      </c>
      <c r="AY18">
        <v>23.9583333333334</v>
      </c>
      <c r="AZ18">
        <v>28.125000000000131</v>
      </c>
      <c r="BA18">
        <v>21.875000000000039</v>
      </c>
    </row>
    <row r="19" spans="1:53" ht="31" x14ac:dyDescent="0.35">
      <c r="A19" s="3"/>
      <c r="J19">
        <f>290.08438818565/2</f>
        <v>145.04219409282501</v>
      </c>
      <c r="K19">
        <f>290.08438818565/2</f>
        <v>145.04219409282501</v>
      </c>
      <c r="L19">
        <v>178.00632911392</v>
      </c>
      <c r="M19">
        <v>164.82067510549001</v>
      </c>
      <c r="N19">
        <f t="shared" si="17"/>
        <v>22.916666666666352</v>
      </c>
      <c r="O19">
        <f t="shared" si="1"/>
        <v>22.916666666666352</v>
      </c>
      <c r="P19">
        <f t="shared" si="2"/>
        <v>28.124999999999357</v>
      </c>
      <c r="Q19">
        <f t="shared" si="3"/>
        <v>26.041666666667421</v>
      </c>
      <c r="S19">
        <f>266.58767772512/2</f>
        <v>133.29383886255999</v>
      </c>
      <c r="T19">
        <f>266.58767772512/2</f>
        <v>133.29383886255999</v>
      </c>
      <c r="U19">
        <f>319.90521327014/2</f>
        <v>159.95260663507</v>
      </c>
      <c r="V19">
        <f>319.90521327014/2</f>
        <v>159.95260663507</v>
      </c>
      <c r="W19">
        <f t="shared" si="18"/>
        <v>23.437500000000131</v>
      </c>
      <c r="X19">
        <f t="shared" si="4"/>
        <v>23.437500000000131</v>
      </c>
      <c r="Y19">
        <f t="shared" si="5"/>
        <v>28.124999999999812</v>
      </c>
      <c r="Z19">
        <f t="shared" si="6"/>
        <v>28.124999999999812</v>
      </c>
      <c r="AB19">
        <v>170.64846416381999</v>
      </c>
      <c r="AC19">
        <v>156.42775881684</v>
      </c>
      <c r="AD19">
        <v>163.53811149033001</v>
      </c>
      <c r="AE19">
        <v>184.86916951081</v>
      </c>
      <c r="AF19">
        <f t="shared" si="19"/>
        <v>24.999999999999631</v>
      </c>
      <c r="AG19">
        <f t="shared" si="7"/>
        <v>22.916666666667059</v>
      </c>
      <c r="AH19">
        <f t="shared" si="8"/>
        <v>23.958333333333346</v>
      </c>
      <c r="AI19">
        <f t="shared" si="9"/>
        <v>27.083333333333663</v>
      </c>
      <c r="AT19">
        <v>164.83516483516539</v>
      </c>
      <c r="AU19">
        <v>151.09890109890151</v>
      </c>
      <c r="AV19">
        <v>171.70329670329741</v>
      </c>
      <c r="AW19">
        <v>157.96703296702799</v>
      </c>
      <c r="AX19">
        <v>25.000000000000089</v>
      </c>
      <c r="AY19">
        <v>22.916666666666721</v>
      </c>
      <c r="AZ19">
        <v>26.041666666666771</v>
      </c>
      <c r="BA19">
        <v>23.958333333332579</v>
      </c>
    </row>
    <row r="20" spans="1:53" ht="31" x14ac:dyDescent="0.35">
      <c r="A20" s="3"/>
      <c r="E20" s="6"/>
      <c r="F20" s="6"/>
      <c r="G20" s="6"/>
      <c r="H20" s="6"/>
      <c r="I20" s="8"/>
      <c r="M20" s="21"/>
      <c r="N20" s="20"/>
      <c r="O20" s="20"/>
      <c r="P20" s="20"/>
      <c r="Q20" s="20"/>
      <c r="V20" s="8"/>
    </row>
    <row r="21" spans="1:53" ht="31" x14ac:dyDescent="0.35">
      <c r="A21" s="12" t="s">
        <v>6</v>
      </c>
      <c r="B21" s="13"/>
      <c r="C21" s="13"/>
      <c r="D21" s="13"/>
      <c r="E21" s="13"/>
      <c r="F21" s="13"/>
      <c r="G21" s="13"/>
      <c r="H21" s="13"/>
      <c r="J21" s="9" t="s">
        <v>4</v>
      </c>
      <c r="K21" s="10"/>
      <c r="L21" s="10"/>
      <c r="M21" s="10"/>
      <c r="N21" s="10"/>
      <c r="O21" s="10"/>
      <c r="P21" s="10"/>
      <c r="Q21" s="10"/>
      <c r="S21" s="1" t="s">
        <v>119</v>
      </c>
      <c r="T21" s="2"/>
      <c r="U21" s="2"/>
      <c r="V21" s="2"/>
      <c r="W21" s="2"/>
      <c r="X21" s="2"/>
      <c r="Y21" s="2"/>
      <c r="Z21" s="2"/>
      <c r="AB21" s="14" t="s">
        <v>42</v>
      </c>
      <c r="AC21" s="15"/>
      <c r="AD21" s="15"/>
      <c r="AE21" s="15"/>
      <c r="AF21" s="15"/>
      <c r="AG21" s="15"/>
      <c r="AH21" s="15"/>
      <c r="AI21" s="15"/>
      <c r="AK21" s="16" t="s">
        <v>135</v>
      </c>
      <c r="AL21" s="17"/>
      <c r="AM21" s="17"/>
      <c r="AN21" s="17"/>
      <c r="AO21" s="17"/>
      <c r="AP21" s="17"/>
      <c r="AQ21" s="18"/>
      <c r="AR21" s="17"/>
    </row>
    <row r="22" spans="1:53" ht="31" x14ac:dyDescent="0.35">
      <c r="A22" s="3" t="s">
        <v>2</v>
      </c>
      <c r="E22" s="6" t="s">
        <v>3</v>
      </c>
      <c r="F22" s="6" t="s">
        <v>28</v>
      </c>
      <c r="G22" s="6"/>
      <c r="H22" s="6"/>
      <c r="J22" s="3" t="s">
        <v>2</v>
      </c>
      <c r="N22" s="23" t="s">
        <v>18</v>
      </c>
      <c r="O22" s="6" t="s">
        <v>12</v>
      </c>
      <c r="P22" s="6"/>
      <c r="Q22" s="6"/>
      <c r="S22" s="4" t="s">
        <v>1</v>
      </c>
      <c r="W22" s="6" t="s">
        <v>3</v>
      </c>
      <c r="X22" s="6" t="s">
        <v>56</v>
      </c>
      <c r="Y22" s="6"/>
      <c r="Z22" s="6"/>
      <c r="AA22" s="6"/>
      <c r="AB22" s="4" t="s">
        <v>1</v>
      </c>
      <c r="AF22" s="6" t="s">
        <v>3</v>
      </c>
      <c r="AG22" s="24" t="s">
        <v>41</v>
      </c>
      <c r="AK22" s="3" t="s">
        <v>2</v>
      </c>
      <c r="AO22" s="6" t="s">
        <v>3</v>
      </c>
      <c r="AP22" s="6" t="s">
        <v>136</v>
      </c>
      <c r="AQ22" s="6"/>
      <c r="AR22" s="6"/>
    </row>
    <row r="23" spans="1:53" x14ac:dyDescent="0.2">
      <c r="A23" s="7">
        <v>1</v>
      </c>
      <c r="B23" s="6">
        <v>2</v>
      </c>
      <c r="C23" s="6">
        <v>3</v>
      </c>
      <c r="D23" s="6">
        <v>4</v>
      </c>
      <c r="E23" s="7">
        <v>1</v>
      </c>
      <c r="F23" s="6">
        <v>2</v>
      </c>
      <c r="G23" s="6">
        <v>3</v>
      </c>
      <c r="H23" s="6">
        <v>4</v>
      </c>
      <c r="J23" s="7">
        <v>1</v>
      </c>
      <c r="K23" s="6">
        <v>2</v>
      </c>
      <c r="L23" s="6">
        <v>3</v>
      </c>
      <c r="M23" s="6">
        <v>4</v>
      </c>
      <c r="N23" s="7">
        <v>1</v>
      </c>
      <c r="O23" s="6">
        <v>2</v>
      </c>
      <c r="P23" s="6">
        <v>3</v>
      </c>
      <c r="Q23" s="6">
        <v>4</v>
      </c>
      <c r="S23" s="4">
        <v>1</v>
      </c>
      <c r="T23" s="5">
        <v>2</v>
      </c>
      <c r="U23" s="5">
        <v>3</v>
      </c>
      <c r="V23" s="5">
        <v>4</v>
      </c>
      <c r="W23" s="4">
        <v>1</v>
      </c>
      <c r="X23" s="5">
        <v>2</v>
      </c>
      <c r="Y23" s="5">
        <v>3</v>
      </c>
      <c r="Z23" s="5">
        <v>4</v>
      </c>
      <c r="AA23" s="6"/>
      <c r="AB23" s="7">
        <v>1</v>
      </c>
      <c r="AC23" s="6">
        <v>2</v>
      </c>
      <c r="AD23" s="6">
        <v>3</v>
      </c>
      <c r="AE23" s="6">
        <v>4</v>
      </c>
      <c r="AF23" s="7">
        <v>1</v>
      </c>
      <c r="AG23" s="6">
        <v>2</v>
      </c>
      <c r="AH23" s="6">
        <v>3</v>
      </c>
      <c r="AI23" s="6">
        <v>4</v>
      </c>
      <c r="AK23" s="7">
        <v>1</v>
      </c>
      <c r="AL23" s="6">
        <v>2</v>
      </c>
      <c r="AM23" s="6">
        <v>3</v>
      </c>
      <c r="AN23" s="6">
        <v>4</v>
      </c>
      <c r="AO23" s="7">
        <v>1</v>
      </c>
      <c r="AP23" s="6">
        <v>2</v>
      </c>
      <c r="AQ23" s="6">
        <v>3</v>
      </c>
      <c r="AR23" s="6">
        <v>4</v>
      </c>
    </row>
    <row r="24" spans="1:53" x14ac:dyDescent="0.2">
      <c r="A24">
        <v>143.12977099237</v>
      </c>
      <c r="B24">
        <v>143.12977099237</v>
      </c>
      <c r="C24">
        <v>166.98473282443001</v>
      </c>
      <c r="D24">
        <v>137.16603053435</v>
      </c>
      <c r="E24">
        <f>(A24*100)/(60/104.8*1000)</f>
        <v>25.000000000000625</v>
      </c>
      <c r="F24">
        <f>(B24*100)/(60/104.8*1000)</f>
        <v>25.000000000000625</v>
      </c>
      <c r="G24">
        <f t="shared" ref="G24:G39" si="24">(C24*100)/(60/104.8*1000)</f>
        <v>29.166666666667112</v>
      </c>
      <c r="H24">
        <f t="shared" ref="H24:H39" si="25">(D24*100)/(60/104.8*1000)</f>
        <v>23.95833333333313</v>
      </c>
      <c r="J24">
        <f>301.77038626609/2</f>
        <v>150.88519313304499</v>
      </c>
      <c r="K24">
        <f>301.77038626609/2</f>
        <v>150.88519313304499</v>
      </c>
      <c r="L24">
        <v>187.76824034334999</v>
      </c>
      <c r="M24">
        <v>154.23819742488999</v>
      </c>
      <c r="N24">
        <f>(J24*100)/(60/93.2*1000)</f>
        <v>23.437499999999655</v>
      </c>
      <c r="O24">
        <f t="shared" ref="O24:O35" si="26">(K24*100)/(60/93.2*1000)</f>
        <v>23.437499999999655</v>
      </c>
      <c r="P24">
        <f t="shared" ref="P24:P35" si="27">(L24*100)/(60/93.2*1000)</f>
        <v>29.166666666667027</v>
      </c>
      <c r="Q24">
        <f t="shared" ref="Q24:Q35" si="28">(M24*100)/(60/93.2*1000)</f>
        <v>23.958333333332909</v>
      </c>
      <c r="S24">
        <v>114.58333333333</v>
      </c>
      <c r="T24">
        <v>140.625</v>
      </c>
      <c r="U24">
        <v>109.375</v>
      </c>
      <c r="V24">
        <v>140.625</v>
      </c>
      <c r="W24">
        <f>(S24*100)/(60/120*1000)</f>
        <v>22.916666666666003</v>
      </c>
      <c r="X24">
        <f t="shared" ref="X24:X39" si="29">(T24*100)/(60/120*1000)</f>
        <v>28.125</v>
      </c>
      <c r="Y24">
        <f t="shared" ref="Y24:Y39" si="30">(U24*100)/(60/120*1000)</f>
        <v>21.875</v>
      </c>
      <c r="Z24">
        <f t="shared" ref="Z24:Z39" si="31">(V24*100)/(60/120*1000)</f>
        <v>28.125</v>
      </c>
      <c r="AB24">
        <v>170.97264437689969</v>
      </c>
      <c r="AC24">
        <v>145.64336372847009</v>
      </c>
      <c r="AD24">
        <v>132.97872340425531</v>
      </c>
      <c r="AE24">
        <v>177.3049645390071</v>
      </c>
      <c r="AF24">
        <v>28.125</v>
      </c>
      <c r="AG24">
        <v>23.958333333333339</v>
      </c>
      <c r="AH24">
        <v>21.875</v>
      </c>
      <c r="AI24">
        <v>29.166666666666671</v>
      </c>
      <c r="AK24">
        <v>91.32507882796277</v>
      </c>
      <c r="AL24">
        <v>139.39090979004851</v>
      </c>
      <c r="AM24">
        <v>57.678997154502781</v>
      </c>
      <c r="AN24">
        <v>173.03699146350851</v>
      </c>
      <c r="AO24">
        <v>19.791666666666661</v>
      </c>
      <c r="AP24">
        <v>30.208333333333329</v>
      </c>
      <c r="AQ24">
        <v>12.499999999999989</v>
      </c>
      <c r="AR24">
        <v>37.500000000000007</v>
      </c>
    </row>
    <row r="25" spans="1:53" x14ac:dyDescent="0.2">
      <c r="A25">
        <v>134.18416030533999</v>
      </c>
      <c r="B25">
        <v>134.18416030533999</v>
      </c>
      <c r="C25">
        <v>166.98473282443001</v>
      </c>
      <c r="D25">
        <v>131.20229007634001</v>
      </c>
      <c r="E25">
        <f t="shared" ref="E25:E39" si="32">(A25*100)/(60/104.8*1000)</f>
        <v>23.437499999999385</v>
      </c>
      <c r="F25">
        <f t="shared" ref="F25:F39" si="33">(B25*100)/(60/104.8*1000)</f>
        <v>23.437499999999385</v>
      </c>
      <c r="G25">
        <f t="shared" si="24"/>
        <v>29.166666666667112</v>
      </c>
      <c r="H25">
        <f t="shared" si="25"/>
        <v>22.916666666667389</v>
      </c>
      <c r="J25">
        <v>140.82618025751</v>
      </c>
      <c r="K25">
        <v>154.23819742488999</v>
      </c>
      <c r="L25">
        <v>174.35622317597</v>
      </c>
      <c r="M25">
        <v>174.35622317597</v>
      </c>
      <c r="N25">
        <f t="shared" ref="N25:N35" si="34">(J25*100)/(60/93.2*1000)</f>
        <v>21.874999999999886</v>
      </c>
      <c r="O25">
        <f t="shared" si="26"/>
        <v>23.958333333332909</v>
      </c>
      <c r="P25">
        <f t="shared" si="27"/>
        <v>27.083333333334007</v>
      </c>
      <c r="Q25">
        <f t="shared" si="28"/>
        <v>27.083333333334007</v>
      </c>
      <c r="S25">
        <v>109.375</v>
      </c>
      <c r="T25">
        <v>119.79166666667</v>
      </c>
      <c r="U25">
        <v>135.41666666667001</v>
      </c>
      <c r="V25">
        <v>145.83333333332999</v>
      </c>
      <c r="W25">
        <f t="shared" ref="W25:W39" si="35">(S25*100)/(60/120*1000)</f>
        <v>21.875</v>
      </c>
      <c r="X25">
        <f t="shared" si="29"/>
        <v>23.958333333333997</v>
      </c>
      <c r="Y25">
        <f t="shared" si="30"/>
        <v>27.083333333334</v>
      </c>
      <c r="Z25">
        <f t="shared" si="31"/>
        <v>29.166666666666</v>
      </c>
      <c r="AB25">
        <v>145.64336372847009</v>
      </c>
      <c r="AC25">
        <v>151.97568389057761</v>
      </c>
      <c r="AD25">
        <v>139.31104356636271</v>
      </c>
      <c r="AE25">
        <v>177.30496453900719</v>
      </c>
      <c r="AF25">
        <v>23.958333333333339</v>
      </c>
      <c r="AG25">
        <v>25.000000000000011</v>
      </c>
      <c r="AH25">
        <v>22.916666666666671</v>
      </c>
      <c r="AI25">
        <v>29.166666666666689</v>
      </c>
      <c r="AK25">
        <v>173.03699146350851</v>
      </c>
      <c r="AL25">
        <v>139.39090979004851</v>
      </c>
      <c r="AM25">
        <v>149.00407598246559</v>
      </c>
      <c r="AO25">
        <v>37.500000000000007</v>
      </c>
      <c r="AP25">
        <v>30.208333333333329</v>
      </c>
      <c r="AQ25">
        <v>32.291666666666657</v>
      </c>
    </row>
    <row r="26" spans="1:53" x14ac:dyDescent="0.2">
      <c r="A26">
        <v>128.22041984732999</v>
      </c>
      <c r="B26">
        <v>128.22041984732999</v>
      </c>
      <c r="C26">
        <v>178.91221374046</v>
      </c>
      <c r="D26">
        <v>137.16603053435</v>
      </c>
      <c r="E26">
        <f t="shared" si="32"/>
        <v>22.395833333333638</v>
      </c>
      <c r="F26">
        <f t="shared" si="33"/>
        <v>22.395833333333638</v>
      </c>
      <c r="G26">
        <f t="shared" si="24"/>
        <v>31.250000000000345</v>
      </c>
      <c r="H26">
        <f t="shared" si="25"/>
        <v>23.95833333333313</v>
      </c>
      <c r="J26">
        <v>147.5321888412</v>
      </c>
      <c r="K26">
        <v>147.5321888412</v>
      </c>
      <c r="L26">
        <v>181.06223175965999</v>
      </c>
      <c r="M26">
        <v>167.65021459227</v>
      </c>
      <c r="N26">
        <f t="shared" si="34"/>
        <v>22.916666666666398</v>
      </c>
      <c r="O26">
        <f t="shared" si="26"/>
        <v>22.916666666666398</v>
      </c>
      <c r="P26">
        <f t="shared" si="27"/>
        <v>28.125000000000515</v>
      </c>
      <c r="Q26">
        <f t="shared" si="28"/>
        <v>26.041666666665936</v>
      </c>
      <c r="S26">
        <v>109.375</v>
      </c>
      <c r="T26">
        <v>114.58333333333</v>
      </c>
      <c r="U26">
        <f>270.83333333333/2</f>
        <v>135.41666666666501</v>
      </c>
      <c r="V26">
        <f>270.83333333333/2</f>
        <v>135.41666666666501</v>
      </c>
      <c r="W26">
        <f t="shared" si="35"/>
        <v>21.875</v>
      </c>
      <c r="X26">
        <f t="shared" si="29"/>
        <v>22.916666666666003</v>
      </c>
      <c r="Y26">
        <f t="shared" si="30"/>
        <v>27.083333333333002</v>
      </c>
      <c r="Z26">
        <f t="shared" si="31"/>
        <v>27.083333333333002</v>
      </c>
      <c r="AB26">
        <v>139.31104356636271</v>
      </c>
      <c r="AC26">
        <v>158.30800405268499</v>
      </c>
      <c r="AD26">
        <v>139.31104356636271</v>
      </c>
      <c r="AE26">
        <v>158.30800405268499</v>
      </c>
      <c r="AF26">
        <v>22.916666666666671</v>
      </c>
      <c r="AG26">
        <v>26.041666666666671</v>
      </c>
      <c r="AH26">
        <v>22.916666666666671</v>
      </c>
      <c r="AI26">
        <v>26.041666666666671</v>
      </c>
      <c r="AK26">
        <v>182.6501576559256</v>
      </c>
      <c r="AL26">
        <v>110.55141121279711</v>
      </c>
      <c r="AM26">
        <v>168.23040836729979</v>
      </c>
      <c r="AO26">
        <v>39.583333333333343</v>
      </c>
      <c r="AP26">
        <v>23.95833333333335</v>
      </c>
      <c r="AQ26">
        <v>36.458333333333307</v>
      </c>
    </row>
    <row r="27" spans="1:53" x14ac:dyDescent="0.2">
      <c r="A27">
        <v>134.18416030533999</v>
      </c>
      <c r="B27">
        <v>134.18416030533999</v>
      </c>
      <c r="C27">
        <v>161.02099236641001</v>
      </c>
      <c r="D27">
        <v>137.16603053435</v>
      </c>
      <c r="E27">
        <f t="shared" si="32"/>
        <v>23.437499999999385</v>
      </c>
      <c r="F27">
        <f t="shared" si="33"/>
        <v>23.437499999999385</v>
      </c>
      <c r="G27">
        <f t="shared" si="24"/>
        <v>28.124999999999613</v>
      </c>
      <c r="H27">
        <f t="shared" si="25"/>
        <v>23.95833333333313</v>
      </c>
      <c r="J27">
        <v>140.82618025751</v>
      </c>
      <c r="K27">
        <v>147.5321888412</v>
      </c>
      <c r="L27">
        <v>174.35622317597</v>
      </c>
      <c r="M27">
        <v>174.35622317597</v>
      </c>
      <c r="N27">
        <f t="shared" si="34"/>
        <v>21.874999999999886</v>
      </c>
      <c r="O27">
        <f t="shared" si="26"/>
        <v>22.916666666666398</v>
      </c>
      <c r="P27">
        <f t="shared" si="27"/>
        <v>27.083333333334007</v>
      </c>
      <c r="Q27">
        <f t="shared" si="28"/>
        <v>27.083333333334007</v>
      </c>
      <c r="S27">
        <v>119.79166666667</v>
      </c>
      <c r="T27">
        <v>114.58333333333</v>
      </c>
      <c r="U27">
        <v>135.41666666667001</v>
      </c>
      <c r="V27">
        <v>135.41666666667001</v>
      </c>
      <c r="W27">
        <f t="shared" si="35"/>
        <v>23.958333333333997</v>
      </c>
      <c r="X27">
        <f t="shared" si="29"/>
        <v>22.916666666666003</v>
      </c>
      <c r="Y27">
        <f t="shared" si="30"/>
        <v>27.083333333334</v>
      </c>
      <c r="Z27">
        <f t="shared" si="31"/>
        <v>27.083333333334</v>
      </c>
      <c r="AB27">
        <v>151.97568389057761</v>
      </c>
      <c r="AC27">
        <v>151.9756838905773</v>
      </c>
      <c r="AD27">
        <v>145.64336372846989</v>
      </c>
      <c r="AE27">
        <v>158.30800405268471</v>
      </c>
      <c r="AF27">
        <v>25.000000000000011</v>
      </c>
      <c r="AG27">
        <v>24.999999999999972</v>
      </c>
      <c r="AH27">
        <v>23.9583333333333</v>
      </c>
      <c r="AI27">
        <v>26.041666666666639</v>
      </c>
      <c r="AK27">
        <v>120.1645774052142</v>
      </c>
      <c r="AL27">
        <v>105.74482811658849</v>
      </c>
      <c r="AM27">
        <v>86.518495731754228</v>
      </c>
      <c r="AN27">
        <v>149.00407598246559</v>
      </c>
      <c r="AO27">
        <v>26.041666666666671</v>
      </c>
      <c r="AP27">
        <v>22.916666666666661</v>
      </c>
      <c r="AQ27">
        <v>18.75</v>
      </c>
      <c r="AR27">
        <v>32.291666666666657</v>
      </c>
    </row>
    <row r="28" spans="1:53" x14ac:dyDescent="0.2">
      <c r="A28">
        <v>137.16603053435</v>
      </c>
      <c r="B28">
        <v>137.16603053435</v>
      </c>
      <c r="C28">
        <v>155.05725190839999</v>
      </c>
      <c r="D28">
        <v>137.16603053435</v>
      </c>
      <c r="E28">
        <f t="shared" si="32"/>
        <v>23.95833333333313</v>
      </c>
      <c r="F28">
        <f t="shared" si="33"/>
        <v>23.95833333333313</v>
      </c>
      <c r="G28">
        <f t="shared" si="24"/>
        <v>27.083333333333865</v>
      </c>
      <c r="H28">
        <f t="shared" si="25"/>
        <v>23.95833333333313</v>
      </c>
      <c r="J28">
        <f>295.0643776824/2</f>
        <v>147.5321888412</v>
      </c>
      <c r="K28">
        <f>295.0643776824/2</f>
        <v>147.5321888412</v>
      </c>
      <c r="L28">
        <v>174.35622317597</v>
      </c>
      <c r="M28">
        <v>194.47424892704001</v>
      </c>
      <c r="N28">
        <f t="shared" si="34"/>
        <v>22.916666666666398</v>
      </c>
      <c r="O28">
        <f t="shared" si="26"/>
        <v>22.916666666666398</v>
      </c>
      <c r="P28">
        <f t="shared" si="27"/>
        <v>27.083333333334007</v>
      </c>
      <c r="Q28">
        <f t="shared" si="28"/>
        <v>30.208333333333549</v>
      </c>
      <c r="S28">
        <v>119.79166666667</v>
      </c>
      <c r="T28">
        <v>119.79166666667</v>
      </c>
      <c r="U28">
        <v>130.20833333332999</v>
      </c>
      <c r="V28">
        <v>125</v>
      </c>
      <c r="W28">
        <f t="shared" si="35"/>
        <v>23.958333333333997</v>
      </c>
      <c r="X28">
        <f t="shared" si="29"/>
        <v>23.958333333333997</v>
      </c>
      <c r="Y28">
        <f t="shared" si="30"/>
        <v>26.041666666666</v>
      </c>
      <c r="Z28">
        <f t="shared" si="31"/>
        <v>25</v>
      </c>
      <c r="AB28">
        <v>164.64032421479209</v>
      </c>
      <c r="AC28">
        <v>132.97872340425511</v>
      </c>
      <c r="AD28">
        <v>158.30800405268471</v>
      </c>
      <c r="AE28">
        <v>170.97264437689961</v>
      </c>
      <c r="AF28">
        <v>27.083333333333311</v>
      </c>
      <c r="AG28">
        <v>21.874999999999961</v>
      </c>
      <c r="AH28">
        <v>26.041666666666639</v>
      </c>
      <c r="AI28">
        <v>28.124999999999979</v>
      </c>
      <c r="AK28">
        <v>115.3579943090056</v>
      </c>
      <c r="AL28">
        <v>115.3579943090056</v>
      </c>
      <c r="AM28">
        <v>62.485580250711337</v>
      </c>
      <c r="AN28">
        <v>168.23040836729979</v>
      </c>
      <c r="AO28">
        <v>24.999999999999989</v>
      </c>
      <c r="AP28">
        <v>24.999999999999989</v>
      </c>
      <c r="AQ28">
        <v>13.541666666666661</v>
      </c>
      <c r="AR28">
        <v>36.458333333333307</v>
      </c>
    </row>
    <row r="29" spans="1:53" x14ac:dyDescent="0.2">
      <c r="A29">
        <v>143.12977099237</v>
      </c>
      <c r="B29">
        <v>143.12977099237</v>
      </c>
      <c r="C29">
        <v>161.02099236641001</v>
      </c>
      <c r="D29">
        <v>113.31106870229</v>
      </c>
      <c r="E29">
        <f t="shared" si="32"/>
        <v>25.000000000000625</v>
      </c>
      <c r="F29">
        <f t="shared" si="33"/>
        <v>25.000000000000625</v>
      </c>
      <c r="G29">
        <f t="shared" si="24"/>
        <v>28.124999999999613</v>
      </c>
      <c r="H29">
        <f t="shared" si="25"/>
        <v>19.79166666666665</v>
      </c>
      <c r="J29">
        <v>120.70815450644</v>
      </c>
      <c r="K29">
        <v>160.94420600858001</v>
      </c>
      <c r="L29">
        <v>154.23819742488999</v>
      </c>
      <c r="M29">
        <v>207.88626609441999</v>
      </c>
      <c r="N29">
        <f t="shared" si="34"/>
        <v>18.750000000000345</v>
      </c>
      <c r="O29">
        <f t="shared" si="26"/>
        <v>24.999999999999424</v>
      </c>
      <c r="P29">
        <f t="shared" si="27"/>
        <v>23.958333333332909</v>
      </c>
      <c r="Q29">
        <f t="shared" si="28"/>
        <v>32.291666666666572</v>
      </c>
      <c r="S29">
        <v>114.58333333333</v>
      </c>
      <c r="T29">
        <v>114.58333333333</v>
      </c>
      <c r="U29">
        <v>135.41666666667001</v>
      </c>
      <c r="V29">
        <v>140.625</v>
      </c>
      <c r="W29">
        <f t="shared" si="35"/>
        <v>22.916666666666003</v>
      </c>
      <c r="X29">
        <f t="shared" si="29"/>
        <v>22.916666666666003</v>
      </c>
      <c r="Y29">
        <f t="shared" si="30"/>
        <v>27.083333333334</v>
      </c>
      <c r="Z29">
        <f t="shared" si="31"/>
        <v>28.125</v>
      </c>
      <c r="AB29">
        <v>126.6464032421477</v>
      </c>
      <c r="AC29">
        <v>158.30800405268471</v>
      </c>
      <c r="AD29">
        <v>145.64336372846989</v>
      </c>
      <c r="AE29">
        <v>183.6372847011144</v>
      </c>
      <c r="AF29">
        <v>20.8333333333333</v>
      </c>
      <c r="AG29">
        <v>26.041666666666639</v>
      </c>
      <c r="AH29">
        <v>23.9583333333333</v>
      </c>
      <c r="AI29">
        <v>30.208333333333311</v>
      </c>
      <c r="AK29">
        <v>177.8435745597171</v>
      </c>
      <c r="AL29">
        <v>134.58432669384001</v>
      </c>
      <c r="AM29">
        <v>149.00407598246559</v>
      </c>
      <c r="AO29">
        <v>38.5416666666667</v>
      </c>
      <c r="AP29">
        <v>29.166666666666689</v>
      </c>
      <c r="AQ29">
        <v>32.291666666666657</v>
      </c>
    </row>
    <row r="30" spans="1:53" x14ac:dyDescent="0.2">
      <c r="A30">
        <v>149.09351145037999</v>
      </c>
      <c r="B30">
        <v>149.09351145037999</v>
      </c>
      <c r="C30">
        <v>155.05725190839999</v>
      </c>
      <c r="D30">
        <v>119.27480916031</v>
      </c>
      <c r="E30">
        <f t="shared" si="32"/>
        <v>26.041666666666369</v>
      </c>
      <c r="F30">
        <f t="shared" si="33"/>
        <v>26.041666666666369</v>
      </c>
      <c r="G30">
        <f t="shared" si="24"/>
        <v>27.083333333333865</v>
      </c>
      <c r="H30">
        <f t="shared" si="25"/>
        <v>20.833333333334146</v>
      </c>
      <c r="J30">
        <v>127.41416309013</v>
      </c>
      <c r="K30">
        <v>154.23819742488999</v>
      </c>
      <c r="L30">
        <v>174.35622317597</v>
      </c>
      <c r="M30">
        <v>194.47424892704001</v>
      </c>
      <c r="N30">
        <f t="shared" si="34"/>
        <v>19.79166666666686</v>
      </c>
      <c r="O30">
        <f t="shared" si="26"/>
        <v>23.958333333332909</v>
      </c>
      <c r="P30">
        <f t="shared" si="27"/>
        <v>27.083333333334007</v>
      </c>
      <c r="Q30">
        <f t="shared" si="28"/>
        <v>30.208333333333549</v>
      </c>
      <c r="S30">
        <v>109.375</v>
      </c>
      <c r="T30">
        <v>125</v>
      </c>
      <c r="U30">
        <v>130.20833333332999</v>
      </c>
      <c r="V30">
        <v>135.41666666667001</v>
      </c>
      <c r="W30">
        <f t="shared" si="35"/>
        <v>21.875</v>
      </c>
      <c r="X30">
        <f t="shared" si="29"/>
        <v>25</v>
      </c>
      <c r="Y30">
        <f t="shared" si="30"/>
        <v>26.041666666666</v>
      </c>
      <c r="Z30">
        <f t="shared" si="31"/>
        <v>27.083333333334</v>
      </c>
      <c r="AB30">
        <v>120.3140830800407</v>
      </c>
      <c r="AC30">
        <v>151.9756838905773</v>
      </c>
      <c r="AD30">
        <v>145.64336372846989</v>
      </c>
      <c r="AE30">
        <v>170.97264437689961</v>
      </c>
      <c r="AF30">
        <v>19.7916666666667</v>
      </c>
      <c r="AG30">
        <v>24.999999999999972</v>
      </c>
      <c r="AH30">
        <v>23.9583333333333</v>
      </c>
      <c r="AI30">
        <v>28.124999999999979</v>
      </c>
      <c r="AK30">
        <v>105.74482811658849</v>
      </c>
      <c r="AL30">
        <v>105.74482811658849</v>
      </c>
      <c r="AM30">
        <v>110.55141121279711</v>
      </c>
      <c r="AN30">
        <v>139.39090979004871</v>
      </c>
      <c r="AO30">
        <v>22.916666666666661</v>
      </c>
      <c r="AP30">
        <v>22.916666666666661</v>
      </c>
      <c r="AQ30">
        <v>23.95833333333335</v>
      </c>
      <c r="AR30">
        <v>30.208333333333378</v>
      </c>
    </row>
    <row r="31" spans="1:53" x14ac:dyDescent="0.2">
      <c r="A31">
        <v>152.07538167939001</v>
      </c>
      <c r="B31">
        <v>152.07538167939001</v>
      </c>
      <c r="C31">
        <v>149.09351145037999</v>
      </c>
      <c r="D31">
        <v>137.16603053435</v>
      </c>
      <c r="E31">
        <f t="shared" si="32"/>
        <v>26.562500000000121</v>
      </c>
      <c r="F31">
        <f t="shared" si="33"/>
        <v>26.562500000000121</v>
      </c>
      <c r="G31">
        <f t="shared" si="24"/>
        <v>26.041666666666369</v>
      </c>
      <c r="H31">
        <f t="shared" si="25"/>
        <v>23.95833333333313</v>
      </c>
      <c r="J31">
        <f>261.53433476395/2</f>
        <v>130.76716738197501</v>
      </c>
      <c r="K31">
        <f>261.53433476395/2</f>
        <v>130.76716738197501</v>
      </c>
      <c r="L31">
        <v>181.06223175965999</v>
      </c>
      <c r="M31">
        <v>194.47424892704001</v>
      </c>
      <c r="N31">
        <f t="shared" si="34"/>
        <v>20.312500000000117</v>
      </c>
      <c r="O31">
        <f t="shared" si="26"/>
        <v>20.312500000000117</v>
      </c>
      <c r="P31">
        <f t="shared" si="27"/>
        <v>28.125000000000515</v>
      </c>
      <c r="Q31">
        <f t="shared" si="28"/>
        <v>30.208333333333549</v>
      </c>
      <c r="S31">
        <v>119.79166666667</v>
      </c>
      <c r="T31">
        <v>130.20833333332999</v>
      </c>
      <c r="U31">
        <f>255.20833333333/2</f>
        <v>127.60416666666499</v>
      </c>
      <c r="V31">
        <f>255.20833333333/2</f>
        <v>127.60416666666499</v>
      </c>
      <c r="W31">
        <f t="shared" si="35"/>
        <v>23.958333333333997</v>
      </c>
      <c r="X31">
        <f t="shared" si="29"/>
        <v>26.041666666666</v>
      </c>
      <c r="Y31">
        <f t="shared" si="30"/>
        <v>25.520833333332998</v>
      </c>
      <c r="Z31">
        <f t="shared" si="31"/>
        <v>25.520833333332998</v>
      </c>
      <c r="AB31">
        <v>145.64336372846989</v>
      </c>
      <c r="AC31">
        <v>151.97568389057781</v>
      </c>
      <c r="AD31">
        <v>145.64336372846989</v>
      </c>
      <c r="AE31">
        <v>151.97568389057781</v>
      </c>
      <c r="AF31">
        <v>23.9583333333333</v>
      </c>
      <c r="AG31">
        <v>25.00000000000005</v>
      </c>
      <c r="AH31">
        <v>23.9583333333333</v>
      </c>
      <c r="AI31">
        <v>25.00000000000005</v>
      </c>
      <c r="AK31">
        <v>115.3579943090058</v>
      </c>
      <c r="AL31">
        <v>120.164577405214</v>
      </c>
      <c r="AM31">
        <v>110.55141121279711</v>
      </c>
      <c r="AN31">
        <v>115.3579943090058</v>
      </c>
      <c r="AO31">
        <v>25.000000000000039</v>
      </c>
      <c r="AP31">
        <v>26.041666666666629</v>
      </c>
      <c r="AQ31">
        <v>23.95833333333335</v>
      </c>
      <c r="AR31">
        <v>25.000000000000039</v>
      </c>
    </row>
    <row r="32" spans="1:53" x14ac:dyDescent="0.2">
      <c r="A32">
        <v>140.14790076336001</v>
      </c>
      <c r="B32">
        <v>140.14790076336001</v>
      </c>
      <c r="C32">
        <v>161.02099236641001</v>
      </c>
      <c r="D32">
        <v>137.16603053435</v>
      </c>
      <c r="E32">
        <f t="shared" si="32"/>
        <v>24.479166666666881</v>
      </c>
      <c r="F32">
        <f t="shared" si="33"/>
        <v>24.479166666666881</v>
      </c>
      <c r="G32">
        <f t="shared" si="24"/>
        <v>28.124999999999613</v>
      </c>
      <c r="H32">
        <f t="shared" si="25"/>
        <v>23.95833333333313</v>
      </c>
      <c r="J32">
        <f>281.65236051502/2</f>
        <v>140.82618025751</v>
      </c>
      <c r="K32">
        <f>281.65236051502/2</f>
        <v>140.82618025751</v>
      </c>
      <c r="L32">
        <v>187.76824034334999</v>
      </c>
      <c r="M32">
        <v>174.35622317597</v>
      </c>
      <c r="N32">
        <f t="shared" si="34"/>
        <v>21.874999999999886</v>
      </c>
      <c r="O32">
        <f t="shared" si="26"/>
        <v>21.874999999999886</v>
      </c>
      <c r="P32">
        <f t="shared" si="27"/>
        <v>29.166666666667027</v>
      </c>
      <c r="Q32">
        <f t="shared" si="28"/>
        <v>27.083333333334007</v>
      </c>
      <c r="S32">
        <v>104.16666666667</v>
      </c>
      <c r="T32">
        <v>98.958333333333997</v>
      </c>
      <c r="U32">
        <v>151.04166666667001</v>
      </c>
      <c r="V32">
        <v>140.625</v>
      </c>
      <c r="W32">
        <f t="shared" si="35"/>
        <v>20.833333333333997</v>
      </c>
      <c r="X32">
        <f t="shared" si="29"/>
        <v>19.791666666666799</v>
      </c>
      <c r="Y32">
        <f t="shared" si="30"/>
        <v>30.208333333334</v>
      </c>
      <c r="Z32">
        <f t="shared" si="31"/>
        <v>28.125</v>
      </c>
      <c r="AB32">
        <v>170.97264437689961</v>
      </c>
      <c r="AC32">
        <v>145.64336372846989</v>
      </c>
      <c r="AD32">
        <v>145.64336372846989</v>
      </c>
      <c r="AE32">
        <v>170.97264437689961</v>
      </c>
      <c r="AF32">
        <v>28.124999999999979</v>
      </c>
      <c r="AG32">
        <v>23.9583333333333</v>
      </c>
      <c r="AH32">
        <v>23.9583333333333</v>
      </c>
      <c r="AI32">
        <v>28.124999999999979</v>
      </c>
      <c r="AK32">
        <v>144.1974928862569</v>
      </c>
      <c r="AL32">
        <v>144.1974928862569</v>
      </c>
      <c r="AM32">
        <v>173.036991463508</v>
      </c>
      <c r="AO32">
        <v>31.249999999999972</v>
      </c>
      <c r="AP32">
        <v>31.249999999999972</v>
      </c>
      <c r="AQ32">
        <v>37.499999999999908</v>
      </c>
    </row>
    <row r="33" spans="1:44" x14ac:dyDescent="0.2">
      <c r="A33">
        <v>137.16603053435</v>
      </c>
      <c r="B33">
        <v>137.16603053435</v>
      </c>
      <c r="C33">
        <v>161.02099236641001</v>
      </c>
      <c r="D33">
        <v>137.16603053435</v>
      </c>
      <c r="E33">
        <f t="shared" si="32"/>
        <v>23.95833333333313</v>
      </c>
      <c r="F33">
        <f t="shared" si="33"/>
        <v>23.95833333333313</v>
      </c>
      <c r="G33">
        <f t="shared" si="24"/>
        <v>28.124999999999613</v>
      </c>
      <c r="H33">
        <f t="shared" si="25"/>
        <v>23.95833333333313</v>
      </c>
      <c r="J33">
        <v>134.12017167382001</v>
      </c>
      <c r="K33">
        <v>140.82618025751</v>
      </c>
      <c r="L33">
        <v>181.06223175965999</v>
      </c>
      <c r="M33">
        <v>174.35622317597</v>
      </c>
      <c r="N33">
        <f t="shared" si="34"/>
        <v>20.833333333333371</v>
      </c>
      <c r="O33">
        <f t="shared" si="26"/>
        <v>21.874999999999886</v>
      </c>
      <c r="P33">
        <f t="shared" si="27"/>
        <v>28.125000000000515</v>
      </c>
      <c r="Q33">
        <f t="shared" si="28"/>
        <v>27.083333333334007</v>
      </c>
      <c r="S33">
        <f>203.125/2</f>
        <v>101.5625</v>
      </c>
      <c r="T33">
        <f>203.125/2</f>
        <v>101.5625</v>
      </c>
      <c r="U33">
        <v>156.25</v>
      </c>
      <c r="V33">
        <v>145.83333333332999</v>
      </c>
      <c r="W33">
        <f t="shared" si="35"/>
        <v>20.3125</v>
      </c>
      <c r="X33">
        <f t="shared" si="29"/>
        <v>20.3125</v>
      </c>
      <c r="Y33">
        <f t="shared" si="30"/>
        <v>31.25</v>
      </c>
      <c r="Z33">
        <f t="shared" si="31"/>
        <v>29.166666666666</v>
      </c>
      <c r="AB33">
        <v>120.31408308004031</v>
      </c>
      <c r="AC33">
        <v>177.30496453900739</v>
      </c>
      <c r="AD33">
        <v>132.97872340425511</v>
      </c>
      <c r="AE33">
        <v>170.97264437689961</v>
      </c>
      <c r="AF33">
        <v>19.791666666666629</v>
      </c>
      <c r="AG33">
        <v>29.166666666666721</v>
      </c>
      <c r="AH33">
        <v>21.874999999999961</v>
      </c>
      <c r="AI33">
        <v>28.124999999999979</v>
      </c>
      <c r="AK33">
        <v>177.8435745597171</v>
      </c>
      <c r="AL33">
        <v>139.39090979004871</v>
      </c>
      <c r="AM33">
        <v>144.19749288625741</v>
      </c>
      <c r="AO33">
        <v>38.5416666666667</v>
      </c>
      <c r="AP33">
        <v>30.208333333333378</v>
      </c>
      <c r="AQ33">
        <v>31.250000000000071</v>
      </c>
    </row>
    <row r="34" spans="1:44" x14ac:dyDescent="0.2">
      <c r="A34">
        <v>134.18416030533999</v>
      </c>
      <c r="B34">
        <v>134.18416030533999</v>
      </c>
      <c r="C34">
        <v>172.94847328244001</v>
      </c>
      <c r="D34">
        <v>131.20229007634001</v>
      </c>
      <c r="E34">
        <f t="shared" si="32"/>
        <v>23.437499999999385</v>
      </c>
      <c r="F34">
        <f t="shared" si="33"/>
        <v>23.437499999999385</v>
      </c>
      <c r="G34">
        <f t="shared" si="24"/>
        <v>30.208333333332849</v>
      </c>
      <c r="H34">
        <f t="shared" si="25"/>
        <v>22.916666666667389</v>
      </c>
      <c r="J34">
        <v>134.12017167382001</v>
      </c>
      <c r="K34">
        <v>147.5321888412</v>
      </c>
      <c r="L34">
        <v>174.35622317597</v>
      </c>
      <c r="M34">
        <v>187.76824034334999</v>
      </c>
      <c r="N34">
        <f t="shared" si="34"/>
        <v>20.833333333333371</v>
      </c>
      <c r="O34">
        <f t="shared" si="26"/>
        <v>22.916666666666398</v>
      </c>
      <c r="P34">
        <f t="shared" si="27"/>
        <v>27.083333333334007</v>
      </c>
      <c r="Q34">
        <f t="shared" si="28"/>
        <v>29.166666666667027</v>
      </c>
      <c r="S34">
        <v>104.16666666667</v>
      </c>
      <c r="T34">
        <v>98.958333333333997</v>
      </c>
      <c r="U34">
        <f>276.04166666667/2</f>
        <v>138.02083333333499</v>
      </c>
      <c r="V34">
        <f>276.04166666667/2</f>
        <v>138.02083333333499</v>
      </c>
      <c r="W34">
        <f t="shared" si="35"/>
        <v>20.833333333333997</v>
      </c>
      <c r="X34">
        <f t="shared" si="29"/>
        <v>19.791666666666799</v>
      </c>
      <c r="Y34">
        <f t="shared" si="30"/>
        <v>27.604166666666998</v>
      </c>
      <c r="Z34">
        <f t="shared" si="31"/>
        <v>27.604166666666998</v>
      </c>
      <c r="AB34">
        <v>145.64336372846989</v>
      </c>
      <c r="AC34">
        <v>151.97568389057781</v>
      </c>
      <c r="AD34">
        <v>132.97872340425511</v>
      </c>
      <c r="AE34">
        <v>164.6403242147926</v>
      </c>
      <c r="AF34">
        <v>23.9583333333333</v>
      </c>
      <c r="AG34">
        <v>25.00000000000005</v>
      </c>
      <c r="AH34">
        <v>21.874999999999961</v>
      </c>
      <c r="AI34">
        <v>27.083333333333389</v>
      </c>
      <c r="AK34">
        <v>177.8435745597171</v>
      </c>
      <c r="AL34">
        <v>115.35799430900531</v>
      </c>
      <c r="AM34">
        <v>168.23040836729979</v>
      </c>
      <c r="AO34">
        <v>38.5416666666667</v>
      </c>
      <c r="AP34">
        <v>24.99999999999994</v>
      </c>
      <c r="AQ34">
        <v>36.458333333333307</v>
      </c>
    </row>
    <row r="35" spans="1:44" x14ac:dyDescent="0.2">
      <c r="A35">
        <v>137.16603053435</v>
      </c>
      <c r="B35">
        <v>137.16603053435</v>
      </c>
      <c r="C35">
        <v>155.05725190839999</v>
      </c>
      <c r="D35">
        <v>131.20229007634001</v>
      </c>
      <c r="E35">
        <f t="shared" si="32"/>
        <v>23.95833333333313</v>
      </c>
      <c r="F35">
        <f t="shared" si="33"/>
        <v>23.95833333333313</v>
      </c>
      <c r="G35">
        <f t="shared" si="24"/>
        <v>27.083333333333865</v>
      </c>
      <c r="H35">
        <f t="shared" si="25"/>
        <v>22.916666666667389</v>
      </c>
      <c r="J35">
        <v>140.82618025751</v>
      </c>
      <c r="K35">
        <v>147.5321888412</v>
      </c>
      <c r="L35">
        <v>174.35622317597</v>
      </c>
      <c r="M35">
        <v>181.06223175965999</v>
      </c>
      <c r="N35">
        <f t="shared" si="34"/>
        <v>21.874999999999886</v>
      </c>
      <c r="O35">
        <f t="shared" si="26"/>
        <v>22.916666666666398</v>
      </c>
      <c r="P35">
        <f t="shared" si="27"/>
        <v>27.083333333334007</v>
      </c>
      <c r="Q35">
        <f t="shared" si="28"/>
        <v>28.125000000000515</v>
      </c>
      <c r="S35">
        <v>114.58333333333</v>
      </c>
      <c r="T35">
        <v>119.79166666667</v>
      </c>
      <c r="U35">
        <f>276.04166666667/2</f>
        <v>138.02083333333499</v>
      </c>
      <c r="V35">
        <f>276.04166666667/2</f>
        <v>138.02083333333499</v>
      </c>
      <c r="W35">
        <f t="shared" si="35"/>
        <v>22.916666666666003</v>
      </c>
      <c r="X35">
        <f t="shared" si="29"/>
        <v>23.958333333333997</v>
      </c>
      <c r="Y35">
        <f t="shared" si="30"/>
        <v>27.604166666666998</v>
      </c>
      <c r="Z35">
        <f t="shared" si="31"/>
        <v>27.604166666666998</v>
      </c>
      <c r="AB35">
        <v>145.64336372846989</v>
      </c>
      <c r="AC35">
        <v>151.97568389057781</v>
      </c>
      <c r="AD35">
        <v>151.97568389057781</v>
      </c>
      <c r="AE35">
        <v>158.30800405268471</v>
      </c>
      <c r="AF35">
        <v>23.9583333333333</v>
      </c>
      <c r="AG35">
        <v>25.00000000000005</v>
      </c>
      <c r="AH35">
        <v>25.00000000000005</v>
      </c>
      <c r="AI35">
        <v>26.041666666666639</v>
      </c>
      <c r="AK35">
        <v>124.9711605014227</v>
      </c>
      <c r="AL35">
        <v>110.55141121279669</v>
      </c>
      <c r="AM35">
        <v>57.678997154503122</v>
      </c>
      <c r="AN35">
        <v>168.23040836729979</v>
      </c>
      <c r="AO35">
        <v>27.083333333333311</v>
      </c>
      <c r="AP35">
        <v>23.95833333333325</v>
      </c>
      <c r="AQ35">
        <v>12.500000000000069</v>
      </c>
      <c r="AR35">
        <v>36.458333333333307</v>
      </c>
    </row>
    <row r="36" spans="1:44" ht="19" x14ac:dyDescent="0.25">
      <c r="A36">
        <v>140.14790076336001</v>
      </c>
      <c r="B36">
        <v>140.14790076336001</v>
      </c>
      <c r="C36">
        <v>161.02099236641001</v>
      </c>
      <c r="D36">
        <v>143.12977099237</v>
      </c>
      <c r="E36">
        <f t="shared" si="32"/>
        <v>24.479166666666881</v>
      </c>
      <c r="F36">
        <f t="shared" si="33"/>
        <v>24.479166666666881</v>
      </c>
      <c r="G36">
        <f t="shared" si="24"/>
        <v>28.124999999999613</v>
      </c>
      <c r="H36">
        <f t="shared" si="25"/>
        <v>25.000000000000625</v>
      </c>
      <c r="M36" s="21"/>
      <c r="N36" s="20"/>
      <c r="O36" s="20"/>
      <c r="P36" s="20"/>
      <c r="Q36" s="20"/>
      <c r="S36">
        <v>98.958333333333997</v>
      </c>
      <c r="T36">
        <v>125</v>
      </c>
      <c r="U36">
        <v>130.20833333332999</v>
      </c>
      <c r="V36">
        <v>135.41666666667001</v>
      </c>
      <c r="W36">
        <f t="shared" si="35"/>
        <v>19.791666666666799</v>
      </c>
      <c r="X36">
        <f t="shared" si="29"/>
        <v>25</v>
      </c>
      <c r="Y36">
        <f t="shared" si="30"/>
        <v>26.041666666666</v>
      </c>
      <c r="Z36">
        <f t="shared" si="31"/>
        <v>27.083333333334</v>
      </c>
      <c r="AB36">
        <v>158.30800405268471</v>
      </c>
      <c r="AC36">
        <v>145.64336372846989</v>
      </c>
      <c r="AD36">
        <v>132.97872340425511</v>
      </c>
      <c r="AE36">
        <v>183.6372847011144</v>
      </c>
      <c r="AF36">
        <v>26.041666666666639</v>
      </c>
      <c r="AG36">
        <v>23.9583333333333</v>
      </c>
      <c r="AH36">
        <v>21.874999999999961</v>
      </c>
      <c r="AI36">
        <v>30.208333333333311</v>
      </c>
      <c r="AK36">
        <v>115.35799430900531</v>
      </c>
      <c r="AL36">
        <v>120.164577405214</v>
      </c>
      <c r="AM36">
        <v>57.678997154503122</v>
      </c>
      <c r="AN36">
        <v>168.23040836729979</v>
      </c>
      <c r="AO36">
        <v>24.99999999999994</v>
      </c>
      <c r="AP36">
        <v>26.041666666666629</v>
      </c>
      <c r="AQ36">
        <v>12.500000000000069</v>
      </c>
      <c r="AR36">
        <v>36.458333333333307</v>
      </c>
    </row>
    <row r="37" spans="1:44" x14ac:dyDescent="0.2">
      <c r="A37">
        <v>140.14790076336001</v>
      </c>
      <c r="B37">
        <v>140.14790076336001</v>
      </c>
      <c r="C37">
        <v>161.02099236641001</v>
      </c>
      <c r="D37">
        <v>119.27480916029999</v>
      </c>
      <c r="E37">
        <f t="shared" si="32"/>
        <v>24.479166666666881</v>
      </c>
      <c r="F37">
        <f t="shared" si="33"/>
        <v>24.479166666666881</v>
      </c>
      <c r="G37">
        <f t="shared" si="24"/>
        <v>28.124999999999613</v>
      </c>
      <c r="H37">
        <f t="shared" si="25"/>
        <v>20.833333333332398</v>
      </c>
      <c r="M37" s="8"/>
      <c r="S37">
        <v>109.375</v>
      </c>
      <c r="T37">
        <v>98.958333333333002</v>
      </c>
      <c r="U37">
        <v>135.41666666667001</v>
      </c>
      <c r="V37">
        <v>151.04166666667001</v>
      </c>
      <c r="W37">
        <f t="shared" si="35"/>
        <v>21.875</v>
      </c>
      <c r="X37">
        <f t="shared" si="29"/>
        <v>19.7916666666666</v>
      </c>
      <c r="Y37">
        <f t="shared" si="30"/>
        <v>27.083333333334</v>
      </c>
      <c r="Z37">
        <f t="shared" si="31"/>
        <v>30.208333333334</v>
      </c>
      <c r="AB37">
        <v>139.311043566363</v>
      </c>
      <c r="AC37">
        <v>158.30800405268559</v>
      </c>
      <c r="AD37">
        <v>139.31104356636209</v>
      </c>
      <c r="AE37">
        <v>164.64032421479169</v>
      </c>
      <c r="AF37">
        <v>22.91666666666671</v>
      </c>
      <c r="AG37">
        <v>26.041666666666789</v>
      </c>
      <c r="AH37">
        <v>22.916666666666561</v>
      </c>
      <c r="AI37">
        <v>27.083333333333229</v>
      </c>
      <c r="AK37">
        <v>177.8435745597171</v>
      </c>
      <c r="AL37">
        <v>129.77774359763129</v>
      </c>
      <c r="AM37">
        <v>153.81065907867381</v>
      </c>
      <c r="AO37">
        <v>38.5416666666667</v>
      </c>
      <c r="AP37">
        <v>28.125000000000011</v>
      </c>
      <c r="AQ37">
        <v>33.33333333333325</v>
      </c>
    </row>
    <row r="38" spans="1:44" ht="31" x14ac:dyDescent="0.35">
      <c r="A38">
        <v>134.18416030533999</v>
      </c>
      <c r="B38">
        <v>134.18416030533999</v>
      </c>
      <c r="C38">
        <v>172.94847328244001</v>
      </c>
      <c r="D38">
        <v>131.20229007634001</v>
      </c>
      <c r="E38">
        <f t="shared" si="32"/>
        <v>23.437499999999385</v>
      </c>
      <c r="F38">
        <f t="shared" si="33"/>
        <v>23.437499999999385</v>
      </c>
      <c r="G38">
        <f t="shared" si="24"/>
        <v>30.208333333332849</v>
      </c>
      <c r="H38">
        <f t="shared" si="25"/>
        <v>22.916666666667389</v>
      </c>
      <c r="J38" s="3"/>
      <c r="S38">
        <f>218.75/2</f>
        <v>109.375</v>
      </c>
      <c r="T38">
        <f>218.75/2</f>
        <v>109.375</v>
      </c>
      <c r="U38">
        <f>281.25/2</f>
        <v>140.625</v>
      </c>
      <c r="V38">
        <f>281.25/2</f>
        <v>140.625</v>
      </c>
      <c r="W38">
        <f t="shared" si="35"/>
        <v>21.875</v>
      </c>
      <c r="X38">
        <f t="shared" si="29"/>
        <v>21.875</v>
      </c>
      <c r="Y38">
        <f t="shared" si="30"/>
        <v>28.125</v>
      </c>
      <c r="Z38">
        <f t="shared" si="31"/>
        <v>28.125</v>
      </c>
      <c r="AB38">
        <v>145.64336372846989</v>
      </c>
      <c r="AC38">
        <v>151.97568389057781</v>
      </c>
      <c r="AD38">
        <v>132.97872340425599</v>
      </c>
      <c r="AE38">
        <v>170.97264437689961</v>
      </c>
      <c r="AF38">
        <v>23.9583333333333</v>
      </c>
      <c r="AG38">
        <v>25.00000000000005</v>
      </c>
      <c r="AH38">
        <v>21.875000000000121</v>
      </c>
      <c r="AI38">
        <v>28.124999999999979</v>
      </c>
      <c r="AK38">
        <v>105.74482811658891</v>
      </c>
      <c r="AL38">
        <v>105.74482811658891</v>
      </c>
      <c r="AM38">
        <v>134.58432669384001</v>
      </c>
      <c r="AN38">
        <v>115.35799430900531</v>
      </c>
      <c r="AO38">
        <v>22.91666666666676</v>
      </c>
      <c r="AP38">
        <v>22.91666666666676</v>
      </c>
      <c r="AQ38">
        <v>29.166666666666689</v>
      </c>
      <c r="AR38">
        <v>24.99999999999994</v>
      </c>
    </row>
    <row r="39" spans="1:44" ht="31" x14ac:dyDescent="0.35">
      <c r="A39">
        <v>140.14790076336001</v>
      </c>
      <c r="B39">
        <v>140.14790076336001</v>
      </c>
      <c r="C39">
        <v>155.05725190839999</v>
      </c>
      <c r="D39">
        <v>137.16603053435</v>
      </c>
      <c r="E39">
        <f t="shared" si="32"/>
        <v>24.479166666666881</v>
      </c>
      <c r="F39">
        <f t="shared" si="33"/>
        <v>24.479166666666881</v>
      </c>
      <c r="G39">
        <f t="shared" si="24"/>
        <v>27.083333333333865</v>
      </c>
      <c r="H39">
        <f t="shared" si="25"/>
        <v>23.95833333333313</v>
      </c>
      <c r="J39" s="3"/>
      <c r="N39" s="6"/>
      <c r="O39" s="6"/>
      <c r="P39" s="6"/>
      <c r="Q39" s="6"/>
      <c r="S39">
        <v>104.16666666667</v>
      </c>
      <c r="T39">
        <v>119.79166666667</v>
      </c>
      <c r="U39">
        <v>125</v>
      </c>
      <c r="V39">
        <v>140.625</v>
      </c>
      <c r="W39">
        <f t="shared" si="35"/>
        <v>20.833333333333997</v>
      </c>
      <c r="X39">
        <f t="shared" si="29"/>
        <v>23.958333333333997</v>
      </c>
      <c r="Y39">
        <f t="shared" si="30"/>
        <v>25</v>
      </c>
      <c r="Z39">
        <f t="shared" si="31"/>
        <v>28.125</v>
      </c>
      <c r="AB39">
        <v>158.30800405268559</v>
      </c>
      <c r="AC39">
        <v>139.31104356636209</v>
      </c>
      <c r="AD39">
        <v>139.31104356636209</v>
      </c>
      <c r="AE39">
        <v>158.30800405268749</v>
      </c>
      <c r="AF39">
        <v>26.041666666666789</v>
      </c>
      <c r="AG39">
        <v>22.916666666666561</v>
      </c>
      <c r="AH39">
        <v>22.916666666666561</v>
      </c>
      <c r="AI39">
        <v>26.041666666667091</v>
      </c>
      <c r="AK39">
        <v>115.35799430900531</v>
      </c>
      <c r="AL39">
        <v>115.35799430900531</v>
      </c>
      <c r="AM39">
        <v>115.35799430900531</v>
      </c>
      <c r="AN39">
        <v>115.3579943090062</v>
      </c>
      <c r="AO39">
        <v>24.99999999999994</v>
      </c>
      <c r="AP39">
        <v>24.99999999999994</v>
      </c>
      <c r="AQ39">
        <v>24.99999999999994</v>
      </c>
      <c r="AR39">
        <v>25.000000000000139</v>
      </c>
    </row>
    <row r="40" spans="1:44" x14ac:dyDescent="0.2">
      <c r="D40" s="8"/>
      <c r="J40" s="7"/>
      <c r="K40" s="6"/>
      <c r="L40" s="6"/>
      <c r="M40" s="6"/>
      <c r="N40" s="7"/>
      <c r="O40" s="6"/>
      <c r="P40" s="6"/>
      <c r="Q40" s="6"/>
      <c r="V40" s="8"/>
    </row>
    <row r="41" spans="1:44" ht="31" x14ac:dyDescent="0.35">
      <c r="A41" s="12" t="s">
        <v>7</v>
      </c>
      <c r="B41" s="13"/>
      <c r="C41" s="13"/>
      <c r="D41" s="13"/>
      <c r="E41" s="13"/>
      <c r="F41" s="13"/>
      <c r="G41" s="13"/>
      <c r="H41" s="13"/>
      <c r="J41" s="9" t="s">
        <v>10</v>
      </c>
      <c r="K41" s="10"/>
      <c r="L41" s="10"/>
      <c r="M41" s="10"/>
      <c r="N41" s="10"/>
      <c r="O41" s="10"/>
      <c r="P41" s="10"/>
      <c r="Q41" s="10"/>
      <c r="S41" s="1" t="s">
        <v>38</v>
      </c>
      <c r="T41" s="2"/>
      <c r="U41" s="2"/>
      <c r="V41" s="2"/>
      <c r="W41" s="2"/>
      <c r="X41" s="2"/>
      <c r="Y41" s="2"/>
      <c r="Z41" s="2"/>
      <c r="AB41" s="14" t="s">
        <v>44</v>
      </c>
      <c r="AC41" s="15"/>
      <c r="AD41" s="15"/>
      <c r="AE41" s="15"/>
      <c r="AF41" s="15"/>
      <c r="AG41" s="15"/>
      <c r="AH41" s="15"/>
      <c r="AI41" s="15"/>
      <c r="AK41" s="16" t="s">
        <v>138</v>
      </c>
      <c r="AL41" s="17"/>
      <c r="AM41" s="17"/>
      <c r="AN41" s="17"/>
      <c r="AO41" s="17"/>
      <c r="AP41" s="17"/>
      <c r="AQ41" s="18"/>
      <c r="AR41" s="17"/>
    </row>
    <row r="42" spans="1:44" ht="31" x14ac:dyDescent="0.35">
      <c r="A42" s="3" t="s">
        <v>2</v>
      </c>
      <c r="E42" s="6" t="s">
        <v>3</v>
      </c>
      <c r="F42" s="6" t="s">
        <v>27</v>
      </c>
      <c r="G42" s="6"/>
      <c r="H42" s="6"/>
      <c r="J42" s="3" t="s">
        <v>2</v>
      </c>
      <c r="N42" s="23" t="s">
        <v>18</v>
      </c>
      <c r="O42" s="6" t="s">
        <v>57</v>
      </c>
      <c r="P42" s="6"/>
      <c r="Q42" s="6"/>
      <c r="S42" s="3" t="s">
        <v>2</v>
      </c>
      <c r="W42" s="23" t="s">
        <v>18</v>
      </c>
      <c r="X42" s="24" t="s">
        <v>37</v>
      </c>
      <c r="Z42" s="6"/>
      <c r="AA42" s="6"/>
      <c r="AB42" s="3" t="s">
        <v>2</v>
      </c>
      <c r="AF42" s="23" t="s">
        <v>18</v>
      </c>
      <c r="AG42" s="24" t="s">
        <v>43</v>
      </c>
      <c r="AK42" s="3" t="s">
        <v>2</v>
      </c>
      <c r="AO42" s="6" t="s">
        <v>3</v>
      </c>
      <c r="AP42" s="6" t="s">
        <v>137</v>
      </c>
      <c r="AQ42" s="6"/>
      <c r="AR42" s="6"/>
    </row>
    <row r="43" spans="1:44" x14ac:dyDescent="0.2">
      <c r="A43" s="7">
        <v>1</v>
      </c>
      <c r="B43" s="6">
        <v>2</v>
      </c>
      <c r="C43" s="6">
        <v>3</v>
      </c>
      <c r="D43" s="6">
        <v>4</v>
      </c>
      <c r="E43" s="7">
        <v>1</v>
      </c>
      <c r="F43" s="6">
        <v>2</v>
      </c>
      <c r="G43" s="6">
        <v>3</v>
      </c>
      <c r="H43" s="6">
        <v>4</v>
      </c>
      <c r="J43" s="7">
        <v>1</v>
      </c>
      <c r="K43" s="6">
        <v>2</v>
      </c>
      <c r="L43" s="6">
        <v>3</v>
      </c>
      <c r="M43" s="6">
        <v>4</v>
      </c>
      <c r="N43" s="7">
        <v>1</v>
      </c>
      <c r="O43" s="6">
        <v>2</v>
      </c>
      <c r="P43" s="6">
        <v>3</v>
      </c>
      <c r="Q43" s="6">
        <v>4</v>
      </c>
      <c r="S43" s="7">
        <v>1</v>
      </c>
      <c r="T43" s="6">
        <v>2</v>
      </c>
      <c r="U43" s="6">
        <v>3</v>
      </c>
      <c r="V43" s="6">
        <v>4</v>
      </c>
      <c r="W43" s="7">
        <v>1</v>
      </c>
      <c r="X43" s="6">
        <v>2</v>
      </c>
      <c r="Y43" s="6">
        <v>3</v>
      </c>
      <c r="Z43" s="6">
        <v>4</v>
      </c>
      <c r="AA43" s="6"/>
      <c r="AB43" s="7">
        <v>1</v>
      </c>
      <c r="AC43" s="6">
        <v>2</v>
      </c>
      <c r="AD43" s="6">
        <v>3</v>
      </c>
      <c r="AE43" s="6">
        <v>4</v>
      </c>
      <c r="AF43" s="7">
        <v>1</v>
      </c>
      <c r="AG43" s="6">
        <v>2</v>
      </c>
      <c r="AH43" s="6">
        <v>3</v>
      </c>
      <c r="AI43" s="6">
        <v>4</v>
      </c>
      <c r="AK43" s="7">
        <v>1</v>
      </c>
      <c r="AL43" s="6">
        <v>2</v>
      </c>
      <c r="AM43" s="6">
        <v>3</v>
      </c>
      <c r="AN43" s="6">
        <v>4</v>
      </c>
      <c r="AO43" s="7">
        <v>1</v>
      </c>
      <c r="AP43" s="6">
        <v>2</v>
      </c>
      <c r="AQ43" s="6">
        <v>3</v>
      </c>
      <c r="AR43" s="6">
        <v>4</v>
      </c>
    </row>
    <row r="44" spans="1:44" x14ac:dyDescent="0.2">
      <c r="A44">
        <v>134.01559454190999</v>
      </c>
      <c r="B44">
        <v>134.01559454190999</v>
      </c>
      <c r="C44">
        <v>164.47368421053</v>
      </c>
      <c r="D44">
        <v>146.19883040936</v>
      </c>
      <c r="E44">
        <f>(A44*100)/(60/102.6*1000)</f>
        <v>22.916666666666607</v>
      </c>
      <c r="F44">
        <f t="shared" ref="F44:H44" si="36">(B44*100)/(60/102.6*1000)</f>
        <v>22.916666666666607</v>
      </c>
      <c r="G44">
        <f t="shared" si="36"/>
        <v>28.125000000000629</v>
      </c>
      <c r="H44">
        <f t="shared" si="36"/>
        <v>25.000000000000558</v>
      </c>
      <c r="J44">
        <v>156.25</v>
      </c>
      <c r="K44">
        <v>156.25</v>
      </c>
      <c r="L44">
        <v>163.04347826086999</v>
      </c>
      <c r="M44">
        <v>169.83695652174001</v>
      </c>
      <c r="N44">
        <f>(J44*100)/(60/92*1000)</f>
        <v>23.958333333333332</v>
      </c>
      <c r="O44">
        <f t="shared" ref="O44:O59" si="37">(K44*100)/(60/92*1000)</f>
        <v>23.958333333333332</v>
      </c>
      <c r="P44">
        <f t="shared" ref="P44:P59" si="38">(L44*100)/(60/92*1000)</f>
        <v>25.000000000000068</v>
      </c>
      <c r="Q44">
        <f t="shared" ref="Q44:Q59" si="39">(M44*100)/(60/92*1000)</f>
        <v>26.041666666666799</v>
      </c>
      <c r="S44">
        <v>149.70059880239521</v>
      </c>
      <c r="T44">
        <v>143.46307385229539</v>
      </c>
      <c r="U44">
        <v>137.22554890219561</v>
      </c>
      <c r="V44">
        <v>187.12574850299401</v>
      </c>
      <c r="W44">
        <v>25</v>
      </c>
      <c r="X44">
        <v>23.958333333333329</v>
      </c>
      <c r="Y44">
        <v>22.916666666666671</v>
      </c>
      <c r="Z44">
        <v>31.25</v>
      </c>
      <c r="AB44">
        <v>211.63483678721391</v>
      </c>
      <c r="AC44">
        <v>228.56562373019099</v>
      </c>
      <c r="AD44">
        <v>194.70404984423681</v>
      </c>
      <c r="AE44">
        <v>203.16944331572529</v>
      </c>
      <c r="AF44">
        <v>26.041666666666671</v>
      </c>
      <c r="AG44">
        <v>28.125</v>
      </c>
      <c r="AH44">
        <v>23.958333333333339</v>
      </c>
      <c r="AI44">
        <v>25</v>
      </c>
      <c r="AK44">
        <v>91.666666666666671</v>
      </c>
      <c r="AL44">
        <v>95.833333333333329</v>
      </c>
      <c r="AM44">
        <v>91.666666666666686</v>
      </c>
      <c r="AN44">
        <v>137.5</v>
      </c>
      <c r="AO44">
        <v>22.916666666666671</v>
      </c>
      <c r="AP44">
        <v>23.958333333333329</v>
      </c>
      <c r="AQ44">
        <v>22.916666666666671</v>
      </c>
      <c r="AR44">
        <v>34.375</v>
      </c>
    </row>
    <row r="45" spans="1:44" x14ac:dyDescent="0.2">
      <c r="A45">
        <v>137.06140350877001</v>
      </c>
      <c r="B45">
        <v>137.06140350877001</v>
      </c>
      <c r="C45">
        <v>146.19883040936</v>
      </c>
      <c r="D45">
        <v>158.3820662768</v>
      </c>
      <c r="E45">
        <f t="shared" ref="E45:E59" si="40">(A45*100)/(60/102.6*1000)</f>
        <v>23.437499999999673</v>
      </c>
      <c r="F45">
        <f t="shared" ref="F45:F59" si="41">(B45*100)/(60/102.6*1000)</f>
        <v>23.437499999999673</v>
      </c>
      <c r="G45">
        <f t="shared" ref="G45:G59" si="42">(C45*100)/(60/102.6*1000)</f>
        <v>25.000000000000558</v>
      </c>
      <c r="H45">
        <f t="shared" ref="H45:H59" si="43">(D45*100)/(60/102.6*1000)</f>
        <v>27.083333333332799</v>
      </c>
      <c r="J45">
        <v>163.04347826086999</v>
      </c>
      <c r="K45">
        <v>156.25</v>
      </c>
      <c r="L45">
        <v>169.83695652174001</v>
      </c>
      <c r="M45">
        <v>176.63043478261</v>
      </c>
      <c r="N45">
        <f t="shared" ref="N45:N59" si="44">(J45*100)/(60/92*1000)</f>
        <v>25.000000000000068</v>
      </c>
      <c r="O45">
        <f t="shared" si="37"/>
        <v>23.958333333333332</v>
      </c>
      <c r="P45">
        <f t="shared" si="38"/>
        <v>26.041666666666799</v>
      </c>
      <c r="Q45">
        <f t="shared" si="39"/>
        <v>27.083333333333531</v>
      </c>
      <c r="S45">
        <v>112.2754491017964</v>
      </c>
      <c r="T45">
        <v>137.22554890219561</v>
      </c>
      <c r="U45">
        <v>143.46307385229531</v>
      </c>
      <c r="V45">
        <v>168.4131736526947</v>
      </c>
      <c r="W45">
        <v>18.75</v>
      </c>
      <c r="X45">
        <v>22.916666666666661</v>
      </c>
      <c r="Y45">
        <v>23.958333333333329</v>
      </c>
      <c r="Z45">
        <v>28.125000000000011</v>
      </c>
      <c r="AB45">
        <v>220.1002302587024</v>
      </c>
      <c r="AC45">
        <v>169.30786942977099</v>
      </c>
      <c r="AD45">
        <v>211.6348367872138</v>
      </c>
      <c r="AE45">
        <v>194.70404984423681</v>
      </c>
      <c r="AF45">
        <v>27.083333333333329</v>
      </c>
      <c r="AG45">
        <v>20.833333333333329</v>
      </c>
      <c r="AH45">
        <v>26.041666666666661</v>
      </c>
      <c r="AI45">
        <v>23.958333333333339</v>
      </c>
      <c r="AK45">
        <v>83.333333333333314</v>
      </c>
      <c r="AL45">
        <v>83.333333333333371</v>
      </c>
      <c r="AM45">
        <v>104.1666666666666</v>
      </c>
      <c r="AN45">
        <v>133.3333333333334</v>
      </c>
      <c r="AO45">
        <v>20.833333333333329</v>
      </c>
      <c r="AP45">
        <v>20.833333333333339</v>
      </c>
      <c r="AQ45">
        <v>26.041666666666661</v>
      </c>
      <c r="AR45">
        <v>33.333333333333343</v>
      </c>
    </row>
    <row r="46" spans="1:44" x14ac:dyDescent="0.2">
      <c r="A46">
        <v>137.06140350877001</v>
      </c>
      <c r="B46">
        <v>137.06140350877001</v>
      </c>
      <c r="C46">
        <v>158.3820662768</v>
      </c>
      <c r="D46">
        <v>164.47368421053</v>
      </c>
      <c r="E46">
        <f t="shared" si="40"/>
        <v>23.437499999999673</v>
      </c>
      <c r="F46">
        <f t="shared" si="41"/>
        <v>23.437499999999673</v>
      </c>
      <c r="G46">
        <f t="shared" si="42"/>
        <v>27.083333333332799</v>
      </c>
      <c r="H46">
        <f t="shared" si="43"/>
        <v>28.125000000000629</v>
      </c>
      <c r="J46">
        <v>142.66304347825999</v>
      </c>
      <c r="K46">
        <v>163.04347826086999</v>
      </c>
      <c r="L46">
        <v>169.83695652174001</v>
      </c>
      <c r="M46">
        <v>169.83695652174001</v>
      </c>
      <c r="N46">
        <f t="shared" si="44"/>
        <v>21.874999999999865</v>
      </c>
      <c r="O46">
        <f t="shared" si="37"/>
        <v>25.000000000000068</v>
      </c>
      <c r="P46">
        <f t="shared" si="38"/>
        <v>26.041666666666799</v>
      </c>
      <c r="Q46">
        <f t="shared" si="39"/>
        <v>26.041666666666799</v>
      </c>
      <c r="S46">
        <v>143.46307385229531</v>
      </c>
      <c r="T46">
        <v>155.9381237524949</v>
      </c>
      <c r="U46">
        <v>155.9381237524949</v>
      </c>
      <c r="V46">
        <v>155.9381237524949</v>
      </c>
      <c r="W46">
        <v>23.958333333333329</v>
      </c>
      <c r="X46">
        <v>26.04166666666665</v>
      </c>
      <c r="Y46">
        <v>26.04166666666665</v>
      </c>
      <c r="Z46">
        <v>26.04166666666665</v>
      </c>
      <c r="AB46">
        <v>211.634836787214</v>
      </c>
      <c r="AC46">
        <v>194.70404984423681</v>
      </c>
      <c r="AD46">
        <v>211.634836787214</v>
      </c>
      <c r="AE46">
        <v>203.1694433157254</v>
      </c>
      <c r="AF46">
        <v>26.041666666666679</v>
      </c>
      <c r="AG46">
        <v>23.958333333333339</v>
      </c>
      <c r="AH46">
        <v>26.041666666666679</v>
      </c>
      <c r="AI46">
        <v>25.000000000000011</v>
      </c>
      <c r="AK46">
        <v>87.5</v>
      </c>
      <c r="AL46">
        <v>87.5</v>
      </c>
      <c r="AM46">
        <v>79.166666666666629</v>
      </c>
      <c r="AN46">
        <v>120.8333333333333</v>
      </c>
      <c r="AO46">
        <v>21.875</v>
      </c>
      <c r="AP46">
        <v>21.875</v>
      </c>
      <c r="AQ46">
        <v>19.791666666666661</v>
      </c>
      <c r="AR46">
        <v>30.208333333333311</v>
      </c>
    </row>
    <row r="47" spans="1:44" x14ac:dyDescent="0.2">
      <c r="A47">
        <v>130.96978557505</v>
      </c>
      <c r="B47">
        <v>130.96978557505</v>
      </c>
      <c r="C47">
        <v>146.19883040936</v>
      </c>
      <c r="D47">
        <v>170.56530214425001</v>
      </c>
      <c r="E47">
        <f t="shared" si="40"/>
        <v>22.395833333333549</v>
      </c>
      <c r="F47">
        <f t="shared" si="41"/>
        <v>22.395833333333549</v>
      </c>
      <c r="G47">
        <f t="shared" si="42"/>
        <v>25.000000000000558</v>
      </c>
      <c r="H47">
        <f t="shared" si="43"/>
        <v>29.166666666666753</v>
      </c>
      <c r="J47">
        <v>149.45652173913001</v>
      </c>
      <c r="K47">
        <v>149.45652173913001</v>
      </c>
      <c r="L47">
        <v>169.83695652174001</v>
      </c>
      <c r="M47">
        <v>163.04347826086999</v>
      </c>
      <c r="N47">
        <f t="shared" si="44"/>
        <v>22.9166666666666</v>
      </c>
      <c r="O47">
        <f t="shared" si="37"/>
        <v>22.9166666666666</v>
      </c>
      <c r="P47">
        <f t="shared" si="38"/>
        <v>26.041666666666799</v>
      </c>
      <c r="Q47">
        <f t="shared" si="39"/>
        <v>25.000000000000068</v>
      </c>
      <c r="S47">
        <v>143.46307385229531</v>
      </c>
      <c r="T47">
        <v>143.46307385229531</v>
      </c>
      <c r="U47">
        <v>143.46307385229559</v>
      </c>
      <c r="V47">
        <v>174.65069860279439</v>
      </c>
      <c r="W47">
        <v>23.958333333333329</v>
      </c>
      <c r="X47">
        <v>23.958333333333329</v>
      </c>
      <c r="Y47">
        <v>23.958333333333361</v>
      </c>
      <c r="Z47">
        <v>29.166666666666661</v>
      </c>
      <c r="AB47">
        <v>211.6348367872138</v>
      </c>
      <c r="AC47">
        <v>186.23865637274821</v>
      </c>
      <c r="AD47">
        <v>211.6348367872138</v>
      </c>
      <c r="AE47">
        <v>203.1694433157254</v>
      </c>
      <c r="AF47">
        <v>26.041666666666661</v>
      </c>
      <c r="AG47">
        <v>22.916666666666671</v>
      </c>
      <c r="AH47">
        <v>26.041666666666661</v>
      </c>
      <c r="AI47">
        <v>25.000000000000011</v>
      </c>
      <c r="AK47">
        <v>91.666666666666742</v>
      </c>
      <c r="AL47">
        <v>120.8333333333333</v>
      </c>
      <c r="AM47">
        <v>79.166666666666742</v>
      </c>
      <c r="AN47">
        <v>129.16666666666671</v>
      </c>
      <c r="AO47">
        <v>22.916666666666689</v>
      </c>
      <c r="AP47">
        <v>30.208333333333311</v>
      </c>
      <c r="AQ47">
        <v>19.791666666666689</v>
      </c>
      <c r="AR47">
        <v>32.291666666666693</v>
      </c>
    </row>
    <row r="48" spans="1:44" x14ac:dyDescent="0.2">
      <c r="A48">
        <v>134.01559454190999</v>
      </c>
      <c r="B48">
        <v>134.01559454190999</v>
      </c>
      <c r="C48">
        <v>158.3820662768</v>
      </c>
      <c r="D48">
        <v>164.47368421053</v>
      </c>
      <c r="E48">
        <f t="shared" si="40"/>
        <v>22.916666666666607</v>
      </c>
      <c r="F48">
        <f t="shared" si="41"/>
        <v>22.916666666666607</v>
      </c>
      <c r="G48">
        <f t="shared" si="42"/>
        <v>27.083333333332799</v>
      </c>
      <c r="H48">
        <f t="shared" si="43"/>
        <v>28.125000000000629</v>
      </c>
      <c r="J48">
        <v>163.04347826086999</v>
      </c>
      <c r="K48">
        <v>156.25</v>
      </c>
      <c r="L48">
        <v>163.04347826086999</v>
      </c>
      <c r="M48">
        <v>183.42391304348001</v>
      </c>
      <c r="N48">
        <f t="shared" si="44"/>
        <v>25.000000000000068</v>
      </c>
      <c r="O48">
        <f t="shared" si="37"/>
        <v>23.958333333333332</v>
      </c>
      <c r="P48">
        <f t="shared" si="38"/>
        <v>25.000000000000068</v>
      </c>
      <c r="Q48">
        <f t="shared" si="39"/>
        <v>28.12500000000027</v>
      </c>
      <c r="S48">
        <v>149.70059880239521</v>
      </c>
      <c r="T48">
        <v>143.46307385229559</v>
      </c>
      <c r="U48">
        <v>162.1756487025946</v>
      </c>
      <c r="V48">
        <v>162.175648702595</v>
      </c>
      <c r="W48">
        <v>25</v>
      </c>
      <c r="X48">
        <v>23.958333333333361</v>
      </c>
      <c r="Y48">
        <v>27.08333333333329</v>
      </c>
      <c r="Z48">
        <v>27.083333333333371</v>
      </c>
      <c r="AB48">
        <v>203.1694433157254</v>
      </c>
      <c r="AC48">
        <v>211.6348367872138</v>
      </c>
      <c r="AD48">
        <v>211.6348367872138</v>
      </c>
      <c r="AE48">
        <v>211.6348367872142</v>
      </c>
      <c r="AF48">
        <v>25.000000000000011</v>
      </c>
      <c r="AG48">
        <v>26.041666666666661</v>
      </c>
      <c r="AH48">
        <v>26.041666666666661</v>
      </c>
      <c r="AI48">
        <v>26.04166666666671</v>
      </c>
      <c r="AK48">
        <v>95.833333333333258</v>
      </c>
      <c r="AL48">
        <v>95.833333333333258</v>
      </c>
      <c r="AM48">
        <v>66.666666666666742</v>
      </c>
      <c r="AN48">
        <v>154.16666666666671</v>
      </c>
      <c r="AO48">
        <v>23.958333333333311</v>
      </c>
      <c r="AP48">
        <v>23.958333333333311</v>
      </c>
      <c r="AQ48">
        <v>16.666666666666689</v>
      </c>
      <c r="AR48">
        <v>38.541666666666693</v>
      </c>
    </row>
    <row r="49" spans="1:44" x14ac:dyDescent="0.2">
      <c r="A49">
        <v>140.10721247563001</v>
      </c>
      <c r="B49">
        <v>140.10721247563001</v>
      </c>
      <c r="C49">
        <v>158.3820662768</v>
      </c>
      <c r="D49">
        <v>152.29044834307999</v>
      </c>
      <c r="E49">
        <f t="shared" si="40"/>
        <v>23.958333333332728</v>
      </c>
      <c r="F49">
        <f t="shared" si="41"/>
        <v>23.958333333332728</v>
      </c>
      <c r="G49">
        <f t="shared" si="42"/>
        <v>27.083333333332799</v>
      </c>
      <c r="H49">
        <f t="shared" si="43"/>
        <v>26.041666666666679</v>
      </c>
      <c r="J49">
        <v>149.45652173913001</v>
      </c>
      <c r="K49">
        <v>163.04347826086999</v>
      </c>
      <c r="L49">
        <v>169.83695652174001</v>
      </c>
      <c r="M49">
        <v>169.83695652174001</v>
      </c>
      <c r="N49">
        <f t="shared" si="44"/>
        <v>22.9166666666666</v>
      </c>
      <c r="O49">
        <f t="shared" si="37"/>
        <v>25.000000000000068</v>
      </c>
      <c r="P49">
        <f t="shared" si="38"/>
        <v>26.041666666666799</v>
      </c>
      <c r="Q49">
        <f t="shared" si="39"/>
        <v>26.041666666666799</v>
      </c>
      <c r="S49">
        <v>130.9880239520958</v>
      </c>
      <c r="T49">
        <v>143.46307385229559</v>
      </c>
      <c r="U49">
        <v>149.70059880239521</v>
      </c>
      <c r="V49">
        <v>168.4131736526947</v>
      </c>
      <c r="W49">
        <v>21.874999999999989</v>
      </c>
      <c r="X49">
        <v>23.958333333333361</v>
      </c>
      <c r="Y49">
        <v>25</v>
      </c>
      <c r="Z49">
        <v>28.125000000000011</v>
      </c>
      <c r="AB49">
        <v>211.6348367872142</v>
      </c>
      <c r="AC49">
        <v>169.30786942977099</v>
      </c>
      <c r="AD49">
        <v>228.56562373019099</v>
      </c>
      <c r="AE49">
        <v>194.70404984423661</v>
      </c>
      <c r="AF49">
        <v>26.04166666666671</v>
      </c>
      <c r="AG49">
        <v>20.833333333333329</v>
      </c>
      <c r="AH49">
        <v>28.125</v>
      </c>
      <c r="AI49">
        <v>23.958333333333311</v>
      </c>
      <c r="AK49">
        <v>70.833333333333258</v>
      </c>
      <c r="AL49">
        <v>75</v>
      </c>
      <c r="AM49">
        <v>120.8333333333335</v>
      </c>
      <c r="AN49">
        <v>116.6666666666665</v>
      </c>
      <c r="AO49">
        <v>17.708333333333311</v>
      </c>
      <c r="AP49">
        <v>18.75</v>
      </c>
      <c r="AQ49">
        <v>30.208333333333371</v>
      </c>
      <c r="AR49">
        <v>29.166666666666629</v>
      </c>
    </row>
    <row r="50" spans="1:44" x14ac:dyDescent="0.2">
      <c r="A50">
        <v>134.01559454190999</v>
      </c>
      <c r="B50">
        <v>134.01559454190999</v>
      </c>
      <c r="C50">
        <v>158.3820662768</v>
      </c>
      <c r="D50">
        <v>152.29044834307999</v>
      </c>
      <c r="E50">
        <f t="shared" si="40"/>
        <v>22.916666666666607</v>
      </c>
      <c r="F50">
        <f t="shared" si="41"/>
        <v>22.916666666666607</v>
      </c>
      <c r="G50">
        <f t="shared" si="42"/>
        <v>27.083333333332799</v>
      </c>
      <c r="H50">
        <f t="shared" si="43"/>
        <v>26.041666666666679</v>
      </c>
      <c r="J50">
        <v>156.25</v>
      </c>
      <c r="K50">
        <v>149.45652173913001</v>
      </c>
      <c r="L50">
        <v>169.83695652174001</v>
      </c>
      <c r="M50">
        <v>169.83695652174001</v>
      </c>
      <c r="N50">
        <f t="shared" si="44"/>
        <v>23.958333333333332</v>
      </c>
      <c r="O50">
        <f t="shared" si="37"/>
        <v>22.9166666666666</v>
      </c>
      <c r="P50">
        <f t="shared" si="38"/>
        <v>26.041666666666799</v>
      </c>
      <c r="Q50">
        <f t="shared" si="39"/>
        <v>26.041666666666799</v>
      </c>
      <c r="S50">
        <v>143.46307385229559</v>
      </c>
      <c r="T50">
        <v>130.9880239520958</v>
      </c>
      <c r="U50">
        <v>168.4131736526947</v>
      </c>
      <c r="V50">
        <v>155.93812375249539</v>
      </c>
      <c r="W50">
        <v>23.958333333333361</v>
      </c>
      <c r="X50">
        <v>21.874999999999989</v>
      </c>
      <c r="Y50">
        <v>28.125000000000011</v>
      </c>
      <c r="Z50">
        <v>26.041666666666721</v>
      </c>
      <c r="AB50">
        <v>220.10023025870211</v>
      </c>
      <c r="AC50">
        <v>194.70404984423661</v>
      </c>
      <c r="AD50">
        <v>203.1694433157254</v>
      </c>
      <c r="AE50">
        <v>203.1694433157254</v>
      </c>
      <c r="AF50">
        <v>27.0833333333333</v>
      </c>
      <c r="AG50">
        <v>23.958333333333311</v>
      </c>
      <c r="AH50">
        <v>25.000000000000011</v>
      </c>
      <c r="AI50">
        <v>25.000000000000011</v>
      </c>
      <c r="AK50">
        <v>91.666666666666515</v>
      </c>
      <c r="AL50">
        <v>91.666666666666515</v>
      </c>
      <c r="AM50">
        <v>91.666666666666515</v>
      </c>
      <c r="AN50">
        <v>108.3333333333335</v>
      </c>
      <c r="AO50">
        <v>22.916666666666629</v>
      </c>
      <c r="AP50">
        <v>22.916666666666629</v>
      </c>
      <c r="AQ50">
        <v>22.916666666666629</v>
      </c>
      <c r="AR50">
        <v>27.083333333333371</v>
      </c>
    </row>
    <row r="51" spans="1:44" x14ac:dyDescent="0.2">
      <c r="A51">
        <v>143.15302144250001</v>
      </c>
      <c r="B51">
        <v>143.15302144250001</v>
      </c>
      <c r="C51">
        <v>146.19883040936</v>
      </c>
      <c r="D51">
        <v>158.3820662768</v>
      </c>
      <c r="E51">
        <f t="shared" si="40"/>
        <v>24.479166666667503</v>
      </c>
      <c r="F51">
        <f t="shared" si="41"/>
        <v>24.479166666667503</v>
      </c>
      <c r="G51">
        <f t="shared" si="42"/>
        <v>25.000000000000558</v>
      </c>
      <c r="H51">
        <f t="shared" si="43"/>
        <v>27.083333333332799</v>
      </c>
      <c r="J51">
        <v>169.83695652174001</v>
      </c>
      <c r="K51">
        <v>149.45652173913001</v>
      </c>
      <c r="L51">
        <v>163.04347826086999</v>
      </c>
      <c r="M51">
        <v>176.63043478261</v>
      </c>
      <c r="N51">
        <f t="shared" si="44"/>
        <v>26.041666666666799</v>
      </c>
      <c r="O51">
        <f t="shared" si="37"/>
        <v>22.9166666666666</v>
      </c>
      <c r="P51">
        <f t="shared" si="38"/>
        <v>25.000000000000068</v>
      </c>
      <c r="Q51">
        <f t="shared" si="39"/>
        <v>27.083333333333531</v>
      </c>
      <c r="S51">
        <v>143.46307385229559</v>
      </c>
      <c r="T51">
        <v>137.22554890219541</v>
      </c>
      <c r="U51">
        <v>162.175648702595</v>
      </c>
      <c r="V51">
        <v>149.70059880239481</v>
      </c>
      <c r="W51">
        <v>23.958333333333361</v>
      </c>
      <c r="X51">
        <v>22.916666666666639</v>
      </c>
      <c r="Y51">
        <v>27.083333333333371</v>
      </c>
      <c r="Z51">
        <v>24.999999999999929</v>
      </c>
      <c r="AB51">
        <v>211.6348367872142</v>
      </c>
      <c r="AC51">
        <v>186.23865637274781</v>
      </c>
      <c r="AD51">
        <v>211.6348367872142</v>
      </c>
      <c r="AE51">
        <v>203.1694433157254</v>
      </c>
      <c r="AF51">
        <v>26.04166666666671</v>
      </c>
      <c r="AG51">
        <v>22.916666666666611</v>
      </c>
      <c r="AH51">
        <v>26.04166666666671</v>
      </c>
      <c r="AI51">
        <v>25.000000000000011</v>
      </c>
      <c r="AK51">
        <v>87.5</v>
      </c>
      <c r="AL51">
        <v>125</v>
      </c>
      <c r="AM51">
        <v>79.166666666666515</v>
      </c>
      <c r="AN51">
        <v>125</v>
      </c>
      <c r="AO51">
        <v>21.875</v>
      </c>
      <c r="AP51">
        <v>31.25</v>
      </c>
      <c r="AQ51">
        <v>19.791666666666629</v>
      </c>
      <c r="AR51">
        <v>31.25</v>
      </c>
    </row>
    <row r="52" spans="1:44" x14ac:dyDescent="0.2">
      <c r="A52">
        <v>127.92397660819</v>
      </c>
      <c r="B52">
        <v>127.92397660819</v>
      </c>
      <c r="C52">
        <v>164.47368421053</v>
      </c>
      <c r="D52">
        <v>164.47368421053</v>
      </c>
      <c r="E52">
        <f t="shared" si="40"/>
        <v>21.87500000000049</v>
      </c>
      <c r="F52">
        <f t="shared" si="41"/>
        <v>21.87500000000049</v>
      </c>
      <c r="G52">
        <f t="shared" si="42"/>
        <v>28.125000000000629</v>
      </c>
      <c r="H52">
        <f t="shared" si="43"/>
        <v>28.125000000000629</v>
      </c>
      <c r="J52">
        <v>163.04347826086999</v>
      </c>
      <c r="K52">
        <v>156.19999999999999</v>
      </c>
      <c r="L52">
        <v>163.04347826086999</v>
      </c>
      <c r="M52">
        <v>183.42391304348001</v>
      </c>
      <c r="N52">
        <f t="shared" si="44"/>
        <v>25.000000000000068</v>
      </c>
      <c r="O52">
        <f t="shared" si="37"/>
        <v>23.950666666666663</v>
      </c>
      <c r="P52">
        <f t="shared" si="38"/>
        <v>25.000000000000068</v>
      </c>
      <c r="Q52">
        <f t="shared" si="39"/>
        <v>28.12500000000027</v>
      </c>
      <c r="S52">
        <v>149.70059880239481</v>
      </c>
      <c r="T52">
        <v>137.22554890219541</v>
      </c>
      <c r="U52">
        <v>143.46307385229559</v>
      </c>
      <c r="V52">
        <v>180.88822355289449</v>
      </c>
      <c r="W52">
        <v>24.999999999999929</v>
      </c>
      <c r="X52">
        <v>22.916666666666639</v>
      </c>
      <c r="Y52">
        <v>23.958333333333361</v>
      </c>
      <c r="Z52">
        <v>30.208333333333378</v>
      </c>
      <c r="AB52">
        <v>194.70404984423661</v>
      </c>
      <c r="AC52">
        <v>211.6348367872142</v>
      </c>
      <c r="AD52">
        <v>194.70404984423661</v>
      </c>
      <c r="AE52">
        <v>228.56562373019099</v>
      </c>
      <c r="AF52">
        <v>23.958333333333311</v>
      </c>
      <c r="AG52">
        <v>26.04166666666671</v>
      </c>
      <c r="AH52">
        <v>23.958333333333311</v>
      </c>
      <c r="AI52">
        <v>28.125</v>
      </c>
      <c r="AK52">
        <v>79.166666666666515</v>
      </c>
      <c r="AL52">
        <v>95.833333333333485</v>
      </c>
      <c r="AM52">
        <v>91.666666666666515</v>
      </c>
      <c r="AN52">
        <v>137.5</v>
      </c>
      <c r="AO52">
        <v>19.791666666666629</v>
      </c>
      <c r="AP52">
        <v>23.958333333333371</v>
      </c>
      <c r="AQ52">
        <v>22.916666666666629</v>
      </c>
      <c r="AR52">
        <v>34.375</v>
      </c>
    </row>
    <row r="53" spans="1:44" x14ac:dyDescent="0.2">
      <c r="A53">
        <v>130.96978557505</v>
      </c>
      <c r="B53">
        <v>130.96978557505</v>
      </c>
      <c r="C53">
        <v>158.3820662768</v>
      </c>
      <c r="D53">
        <v>182.74853801169999</v>
      </c>
      <c r="E53">
        <f t="shared" si="40"/>
        <v>22.395833333333549</v>
      </c>
      <c r="F53">
        <f t="shared" si="41"/>
        <v>22.395833333333549</v>
      </c>
      <c r="G53">
        <f t="shared" si="42"/>
        <v>27.083333333332799</v>
      </c>
      <c r="H53">
        <f t="shared" si="43"/>
        <v>31.2500000000007</v>
      </c>
      <c r="J53">
        <v>142.66304347825999</v>
      </c>
      <c r="K53">
        <v>156.19999999999999</v>
      </c>
      <c r="L53">
        <v>169.83695652174001</v>
      </c>
      <c r="M53">
        <v>183.42391304348001</v>
      </c>
      <c r="N53">
        <f t="shared" si="44"/>
        <v>21.874999999999865</v>
      </c>
      <c r="O53">
        <f t="shared" si="37"/>
        <v>23.950666666666663</v>
      </c>
      <c r="P53">
        <f t="shared" si="38"/>
        <v>26.041666666666799</v>
      </c>
      <c r="Q53">
        <f t="shared" si="39"/>
        <v>28.12500000000027</v>
      </c>
      <c r="S53">
        <v>124.7504990019961</v>
      </c>
      <c r="T53">
        <v>137.22554890219541</v>
      </c>
      <c r="U53">
        <v>155.9381237524949</v>
      </c>
      <c r="V53">
        <v>168.41317365269421</v>
      </c>
      <c r="W53">
        <v>20.83333333333335</v>
      </c>
      <c r="X53">
        <v>22.916666666666639</v>
      </c>
      <c r="Y53">
        <v>26.04166666666665</v>
      </c>
      <c r="Z53">
        <v>28.12499999999994</v>
      </c>
      <c r="AB53">
        <v>203.1694433157254</v>
      </c>
      <c r="AC53">
        <v>186.23865637274781</v>
      </c>
      <c r="AD53">
        <v>211.6348367872142</v>
      </c>
      <c r="AE53">
        <v>186.23865637274869</v>
      </c>
      <c r="AF53">
        <v>25.000000000000011</v>
      </c>
      <c r="AG53">
        <v>22.916666666666611</v>
      </c>
      <c r="AH53">
        <v>26.04166666666671</v>
      </c>
      <c r="AI53">
        <v>22.916666666666721</v>
      </c>
      <c r="AK53">
        <v>83.333333333333485</v>
      </c>
      <c r="AL53">
        <v>83.333333333333485</v>
      </c>
      <c r="AM53">
        <v>104.1666666666665</v>
      </c>
      <c r="AN53">
        <v>133.33333333333351</v>
      </c>
      <c r="AO53">
        <v>20.833333333333371</v>
      </c>
      <c r="AP53">
        <v>20.833333333333371</v>
      </c>
      <c r="AQ53">
        <v>26.041666666666629</v>
      </c>
      <c r="AR53">
        <v>33.333333333333371</v>
      </c>
    </row>
    <row r="54" spans="1:44" x14ac:dyDescent="0.2">
      <c r="A54">
        <v>124.87816764132999</v>
      </c>
      <c r="B54">
        <v>124.87816764132999</v>
      </c>
      <c r="C54">
        <v>158.3820662768</v>
      </c>
      <c r="D54">
        <v>158.3820662768</v>
      </c>
      <c r="E54">
        <f t="shared" si="40"/>
        <v>21.354166666667428</v>
      </c>
      <c r="F54">
        <f t="shared" si="41"/>
        <v>21.354166666667428</v>
      </c>
      <c r="G54">
        <f t="shared" si="42"/>
        <v>27.083333333332799</v>
      </c>
      <c r="H54">
        <f t="shared" si="43"/>
        <v>27.083333333332799</v>
      </c>
      <c r="J54">
        <v>149.45652173913001</v>
      </c>
      <c r="K54">
        <v>149.45652173913001</v>
      </c>
      <c r="L54">
        <v>169.83695652174001</v>
      </c>
      <c r="M54">
        <v>176.63043478261</v>
      </c>
      <c r="N54">
        <f t="shared" si="44"/>
        <v>22.9166666666666</v>
      </c>
      <c r="O54">
        <f t="shared" si="37"/>
        <v>22.9166666666666</v>
      </c>
      <c r="P54">
        <f t="shared" si="38"/>
        <v>26.041666666666799</v>
      </c>
      <c r="Q54">
        <f t="shared" si="39"/>
        <v>27.083333333333531</v>
      </c>
      <c r="S54">
        <v>124.7504990019961</v>
      </c>
      <c r="T54">
        <v>155.9381237524949</v>
      </c>
      <c r="U54">
        <v>149.70059880239481</v>
      </c>
      <c r="V54">
        <v>155.9381237524949</v>
      </c>
      <c r="W54">
        <v>20.83333333333335</v>
      </c>
      <c r="X54">
        <v>26.04166666666665</v>
      </c>
      <c r="Y54">
        <v>24.999999999999929</v>
      </c>
      <c r="Z54">
        <v>26.04166666666665</v>
      </c>
      <c r="AB54">
        <v>220.10023025870211</v>
      </c>
      <c r="AC54">
        <v>203.16944331572449</v>
      </c>
      <c r="AD54">
        <v>203.16944331572449</v>
      </c>
      <c r="AE54">
        <v>194.70404984423661</v>
      </c>
      <c r="AF54">
        <v>27.0833333333333</v>
      </c>
      <c r="AG54">
        <v>24.999999999999901</v>
      </c>
      <c r="AH54">
        <v>24.999999999999901</v>
      </c>
      <c r="AI54">
        <v>23.958333333333311</v>
      </c>
      <c r="AK54">
        <v>87.5</v>
      </c>
      <c r="AL54">
        <v>87.5</v>
      </c>
      <c r="AM54">
        <v>79.16666666666697</v>
      </c>
      <c r="AN54">
        <v>120.833333333333</v>
      </c>
      <c r="AO54">
        <v>21.875</v>
      </c>
      <c r="AP54">
        <v>21.875</v>
      </c>
      <c r="AQ54">
        <v>19.791666666666739</v>
      </c>
      <c r="AR54">
        <v>30.208333333333261</v>
      </c>
    </row>
    <row r="55" spans="1:44" x14ac:dyDescent="0.2">
      <c r="A55">
        <v>140.10721247563001</v>
      </c>
      <c r="B55">
        <v>140.10721247563001</v>
      </c>
      <c r="C55">
        <v>140.10721247563001</v>
      </c>
      <c r="D55">
        <v>176.65692007797</v>
      </c>
      <c r="E55">
        <f t="shared" si="40"/>
        <v>23.958333333332728</v>
      </c>
      <c r="F55">
        <f t="shared" si="41"/>
        <v>23.958333333332728</v>
      </c>
      <c r="G55">
        <f t="shared" si="42"/>
        <v>23.958333333332728</v>
      </c>
      <c r="H55">
        <f t="shared" si="43"/>
        <v>30.208333333332867</v>
      </c>
      <c r="J55">
        <v>156.19999999999999</v>
      </c>
      <c r="K55">
        <v>156.19999999999999</v>
      </c>
      <c r="L55">
        <v>163.04347826086999</v>
      </c>
      <c r="M55">
        <v>169.83695652174001</v>
      </c>
      <c r="N55">
        <f t="shared" si="44"/>
        <v>23.950666666666663</v>
      </c>
      <c r="O55">
        <f t="shared" si="37"/>
        <v>23.950666666666663</v>
      </c>
      <c r="P55">
        <f t="shared" si="38"/>
        <v>25.000000000000068</v>
      </c>
      <c r="Q55">
        <f t="shared" si="39"/>
        <v>26.041666666666799</v>
      </c>
      <c r="S55">
        <v>149.70059880239481</v>
      </c>
      <c r="T55">
        <v>137.22554890219541</v>
      </c>
      <c r="U55">
        <v>143.46307385229559</v>
      </c>
      <c r="V55">
        <v>168.41317365269421</v>
      </c>
      <c r="W55">
        <v>24.999999999999929</v>
      </c>
      <c r="X55">
        <v>22.916666666666639</v>
      </c>
      <c r="Y55">
        <v>23.958333333333361</v>
      </c>
      <c r="Z55">
        <v>28.12499999999994</v>
      </c>
      <c r="AB55">
        <v>220.10023025870211</v>
      </c>
      <c r="AC55">
        <v>177.7732629012589</v>
      </c>
      <c r="AD55">
        <v>203.16944331572449</v>
      </c>
      <c r="AE55">
        <v>203.16944331572449</v>
      </c>
      <c r="AF55">
        <v>27.0833333333333</v>
      </c>
      <c r="AG55">
        <v>21.874999999999911</v>
      </c>
      <c r="AH55">
        <v>24.999999999999901</v>
      </c>
      <c r="AI55">
        <v>24.999999999999901</v>
      </c>
      <c r="AK55">
        <v>91.66666666666697</v>
      </c>
      <c r="AL55">
        <v>120.833333333333</v>
      </c>
      <c r="AM55">
        <v>79.16666666666697</v>
      </c>
      <c r="AN55">
        <v>129.166666666667</v>
      </c>
      <c r="AO55">
        <v>22.916666666666739</v>
      </c>
      <c r="AP55">
        <v>30.208333333333261</v>
      </c>
      <c r="AQ55">
        <v>19.791666666666739</v>
      </c>
      <c r="AR55">
        <v>32.291666666666742</v>
      </c>
    </row>
    <row r="56" spans="1:44" x14ac:dyDescent="0.2">
      <c r="A56">
        <v>121.83235867446</v>
      </c>
      <c r="B56">
        <v>121.83235867446</v>
      </c>
      <c r="C56">
        <v>164.47368421053</v>
      </c>
      <c r="D56">
        <v>164.47368421053</v>
      </c>
      <c r="E56">
        <f t="shared" si="40"/>
        <v>20.833333333332657</v>
      </c>
      <c r="F56">
        <f t="shared" si="41"/>
        <v>20.833333333332657</v>
      </c>
      <c r="G56">
        <f t="shared" si="42"/>
        <v>28.125000000000629</v>
      </c>
      <c r="H56">
        <f t="shared" si="43"/>
        <v>28.125000000000629</v>
      </c>
      <c r="J56">
        <v>156.25</v>
      </c>
      <c r="K56">
        <v>163.04347826086999</v>
      </c>
      <c r="L56">
        <v>163.04347826086999</v>
      </c>
      <c r="M56">
        <v>176.63043478261</v>
      </c>
      <c r="N56">
        <f t="shared" si="44"/>
        <v>23.958333333333332</v>
      </c>
      <c r="O56">
        <f t="shared" si="37"/>
        <v>25.000000000000068</v>
      </c>
      <c r="P56">
        <f t="shared" si="38"/>
        <v>25.000000000000068</v>
      </c>
      <c r="Q56">
        <f t="shared" si="39"/>
        <v>27.083333333333531</v>
      </c>
      <c r="S56">
        <v>155.9381237524949</v>
      </c>
      <c r="T56">
        <v>149.70059880239481</v>
      </c>
      <c r="U56">
        <v>149.70059880239481</v>
      </c>
      <c r="V56">
        <v>149.70059880239481</v>
      </c>
      <c r="W56">
        <v>26.04166666666665</v>
      </c>
      <c r="X56">
        <v>24.999999999999929</v>
      </c>
      <c r="Y56">
        <v>24.999999999999929</v>
      </c>
      <c r="Z56">
        <v>24.999999999999929</v>
      </c>
      <c r="AB56">
        <v>186.23865637274869</v>
      </c>
      <c r="AC56">
        <v>220.10023025870211</v>
      </c>
      <c r="AD56">
        <v>211.6348367872142</v>
      </c>
      <c r="AE56">
        <v>211.6348367872142</v>
      </c>
      <c r="AF56">
        <v>22.916666666666721</v>
      </c>
      <c r="AG56">
        <v>27.0833333333333</v>
      </c>
      <c r="AH56">
        <v>26.04166666666671</v>
      </c>
      <c r="AI56">
        <v>26.04166666666671</v>
      </c>
      <c r="AK56">
        <v>95.83333333333303</v>
      </c>
      <c r="AL56">
        <v>95.83333333333303</v>
      </c>
      <c r="AM56">
        <v>66.66666666666697</v>
      </c>
      <c r="AN56">
        <v>154.166666666667</v>
      </c>
      <c r="AO56">
        <v>23.958333333333261</v>
      </c>
      <c r="AP56">
        <v>23.958333333333261</v>
      </c>
      <c r="AQ56">
        <v>16.666666666666739</v>
      </c>
      <c r="AR56">
        <v>38.541666666666742</v>
      </c>
    </row>
    <row r="57" spans="1:44" x14ac:dyDescent="0.2">
      <c r="A57">
        <v>137.06140350877001</v>
      </c>
      <c r="B57">
        <v>137.06140350877001</v>
      </c>
      <c r="C57">
        <v>158.3820662768</v>
      </c>
      <c r="D57">
        <v>146.19883040936</v>
      </c>
      <c r="E57">
        <f t="shared" si="40"/>
        <v>23.437499999999673</v>
      </c>
      <c r="F57">
        <f t="shared" si="41"/>
        <v>23.437499999999673</v>
      </c>
      <c r="G57">
        <f t="shared" si="42"/>
        <v>27.083333333332799</v>
      </c>
      <c r="H57">
        <f t="shared" si="43"/>
        <v>25.000000000000558</v>
      </c>
      <c r="J57">
        <v>149.45652173913001</v>
      </c>
      <c r="K57">
        <v>156.25</v>
      </c>
      <c r="L57">
        <v>169.83695652174001</v>
      </c>
      <c r="M57">
        <v>183.42391304348001</v>
      </c>
      <c r="N57">
        <f t="shared" si="44"/>
        <v>22.9166666666666</v>
      </c>
      <c r="O57">
        <f t="shared" si="37"/>
        <v>23.958333333333332</v>
      </c>
      <c r="P57">
        <f t="shared" si="38"/>
        <v>26.041666666666799</v>
      </c>
      <c r="Q57">
        <f t="shared" si="39"/>
        <v>28.12500000000027</v>
      </c>
      <c r="S57">
        <v>149.70059880239481</v>
      </c>
      <c r="T57">
        <v>143.46307385229559</v>
      </c>
      <c r="U57">
        <v>137.22554890219541</v>
      </c>
      <c r="V57">
        <v>162.17564870259409</v>
      </c>
      <c r="W57">
        <v>24.999999999999929</v>
      </c>
      <c r="X57">
        <v>23.958333333333361</v>
      </c>
      <c r="Y57">
        <v>22.916666666666639</v>
      </c>
      <c r="Z57">
        <v>27.083333333333218</v>
      </c>
      <c r="AB57">
        <v>177.7732629012589</v>
      </c>
      <c r="AC57">
        <v>203.16944331572449</v>
      </c>
      <c r="AD57">
        <v>194.70404984423661</v>
      </c>
      <c r="AE57">
        <v>203.16944331572449</v>
      </c>
      <c r="AF57">
        <v>21.874999999999911</v>
      </c>
      <c r="AG57">
        <v>24.999999999999901</v>
      </c>
      <c r="AH57">
        <v>23.958333333333311</v>
      </c>
      <c r="AI57">
        <v>24.999999999999901</v>
      </c>
      <c r="AK57">
        <v>70.83333333333303</v>
      </c>
      <c r="AL57">
        <v>75</v>
      </c>
      <c r="AM57">
        <v>120.833333333333</v>
      </c>
      <c r="AN57">
        <v>116.666666666667</v>
      </c>
      <c r="AO57">
        <v>17.708333333333261</v>
      </c>
      <c r="AP57">
        <v>18.75</v>
      </c>
      <c r="AQ57">
        <v>30.208333333333261</v>
      </c>
      <c r="AR57">
        <v>29.166666666666739</v>
      </c>
    </row>
    <row r="58" spans="1:44" x14ac:dyDescent="0.2">
      <c r="A58">
        <v>143.15302144250001</v>
      </c>
      <c r="B58">
        <v>143.15302144250001</v>
      </c>
      <c r="C58">
        <v>152.29044834307999</v>
      </c>
      <c r="D58">
        <v>146.19883040936</v>
      </c>
      <c r="E58">
        <f t="shared" si="40"/>
        <v>24.479166666667503</v>
      </c>
      <c r="F58">
        <f t="shared" si="41"/>
        <v>24.479166666667503</v>
      </c>
      <c r="G58">
        <f t="shared" si="42"/>
        <v>26.041666666666679</v>
      </c>
      <c r="H58">
        <f t="shared" si="43"/>
        <v>25.000000000000558</v>
      </c>
      <c r="J58">
        <v>142.66304347825999</v>
      </c>
      <c r="K58">
        <v>156.25</v>
      </c>
      <c r="L58">
        <v>169.83695652174001</v>
      </c>
      <c r="M58">
        <v>176.63043478261</v>
      </c>
      <c r="N58">
        <f t="shared" si="44"/>
        <v>21.874999999999865</v>
      </c>
      <c r="O58">
        <f t="shared" si="37"/>
        <v>23.958333333333332</v>
      </c>
      <c r="P58">
        <f t="shared" si="38"/>
        <v>26.041666666666799</v>
      </c>
      <c r="Q58">
        <f t="shared" si="39"/>
        <v>27.083333333333531</v>
      </c>
      <c r="S58">
        <v>149.70059880239569</v>
      </c>
      <c r="T58">
        <v>124.75049900199519</v>
      </c>
      <c r="U58">
        <v>174.65069860279439</v>
      </c>
      <c r="V58">
        <v>143.46307385229559</v>
      </c>
      <c r="W58">
        <v>25.000000000000082</v>
      </c>
      <c r="X58">
        <v>20.833333333333201</v>
      </c>
      <c r="Y58">
        <v>29.166666666666661</v>
      </c>
      <c r="Z58">
        <v>23.958333333333361</v>
      </c>
      <c r="AB58">
        <v>194.70404984423661</v>
      </c>
      <c r="AC58">
        <v>211.6348367872142</v>
      </c>
      <c r="AD58">
        <v>203.16944331572449</v>
      </c>
      <c r="AE58">
        <v>203.16944331572449</v>
      </c>
      <c r="AF58">
        <v>23.958333333333311</v>
      </c>
      <c r="AG58">
        <v>26.04166666666671</v>
      </c>
      <c r="AH58">
        <v>24.999999999999901</v>
      </c>
      <c r="AI58">
        <v>24.999999999999901</v>
      </c>
      <c r="AK58">
        <v>91.66666666666697</v>
      </c>
      <c r="AL58">
        <v>91.66666666666697</v>
      </c>
      <c r="AM58">
        <v>91.66666666666697</v>
      </c>
      <c r="AN58">
        <v>108.333333333333</v>
      </c>
      <c r="AO58">
        <v>22.916666666666739</v>
      </c>
      <c r="AP58">
        <v>22.916666666666739</v>
      </c>
      <c r="AQ58">
        <v>22.916666666666739</v>
      </c>
      <c r="AR58">
        <v>27.083333333333261</v>
      </c>
    </row>
    <row r="59" spans="1:44" x14ac:dyDescent="0.2">
      <c r="A59">
        <v>140.10721247563001</v>
      </c>
      <c r="B59">
        <v>140.10721247563001</v>
      </c>
      <c r="C59">
        <v>152.29044834307999</v>
      </c>
      <c r="D59">
        <v>146.19883040936</v>
      </c>
      <c r="E59">
        <f t="shared" si="40"/>
        <v>23.958333333332728</v>
      </c>
      <c r="F59">
        <f t="shared" si="41"/>
        <v>23.958333333332728</v>
      </c>
      <c r="G59">
        <f t="shared" si="42"/>
        <v>26.041666666666679</v>
      </c>
      <c r="H59">
        <f t="shared" si="43"/>
        <v>25.000000000000558</v>
      </c>
      <c r="J59">
        <v>156.25</v>
      </c>
      <c r="K59">
        <v>149.45652173913001</v>
      </c>
      <c r="L59">
        <v>163.04347826086999</v>
      </c>
      <c r="M59">
        <v>183.42391304348001</v>
      </c>
      <c r="N59">
        <f t="shared" si="44"/>
        <v>23.958333333333332</v>
      </c>
      <c r="O59">
        <f t="shared" si="37"/>
        <v>22.9166666666666</v>
      </c>
      <c r="P59">
        <f t="shared" si="38"/>
        <v>25.000000000000068</v>
      </c>
      <c r="Q59">
        <f t="shared" si="39"/>
        <v>28.12500000000027</v>
      </c>
      <c r="S59">
        <v>149.70059880239569</v>
      </c>
      <c r="T59">
        <v>143.46307385229559</v>
      </c>
      <c r="U59">
        <v>143.46307385229559</v>
      </c>
      <c r="V59">
        <v>174.650698602798</v>
      </c>
      <c r="W59">
        <v>25.000000000000082</v>
      </c>
      <c r="X59">
        <v>23.958333333333361</v>
      </c>
      <c r="Y59">
        <v>23.958333333333361</v>
      </c>
      <c r="Z59">
        <v>29.166666666667268</v>
      </c>
      <c r="AB59">
        <v>203.16944331572449</v>
      </c>
      <c r="AC59">
        <v>194.70404984423661</v>
      </c>
      <c r="AD59">
        <v>194.70404984423661</v>
      </c>
      <c r="AE59">
        <v>203.16944331573359</v>
      </c>
      <c r="AF59">
        <v>24.999999999999901</v>
      </c>
      <c r="AG59">
        <v>23.958333333333311</v>
      </c>
      <c r="AH59">
        <v>23.958333333333311</v>
      </c>
      <c r="AI59">
        <v>25.00000000000102</v>
      </c>
      <c r="AK59">
        <v>87.5</v>
      </c>
      <c r="AL59">
        <v>125</v>
      </c>
      <c r="AM59">
        <v>79.16666666666697</v>
      </c>
      <c r="AN59">
        <v>112.4999999999991</v>
      </c>
      <c r="AO59">
        <v>21.875</v>
      </c>
      <c r="AP59">
        <v>31.25</v>
      </c>
      <c r="AQ59">
        <v>19.791666666666739</v>
      </c>
      <c r="AR59">
        <v>28.124999999999769</v>
      </c>
    </row>
    <row r="60" spans="1:44" ht="31" x14ac:dyDescent="0.35">
      <c r="D60" s="8"/>
      <c r="M60" s="20"/>
      <c r="N60" s="20"/>
      <c r="O60" s="20"/>
      <c r="P60" s="20"/>
      <c r="Q60" s="20"/>
      <c r="S60" s="3"/>
      <c r="Y60" s="8"/>
      <c r="AG60" s="3"/>
      <c r="AK60" s="23"/>
      <c r="AL60" s="6"/>
      <c r="AM60" s="6"/>
      <c r="AN60" s="6"/>
    </row>
    <row r="61" spans="1:44" ht="31" x14ac:dyDescent="0.35">
      <c r="A61" s="12" t="s">
        <v>33</v>
      </c>
      <c r="B61" s="13"/>
      <c r="C61" s="13"/>
      <c r="D61" s="13"/>
      <c r="E61" s="13"/>
      <c r="F61" s="13"/>
      <c r="G61" s="13"/>
      <c r="H61" s="13"/>
      <c r="J61" s="9" t="s">
        <v>14</v>
      </c>
      <c r="K61" s="10"/>
      <c r="L61" s="10"/>
      <c r="M61" s="10"/>
      <c r="N61" s="10"/>
      <c r="O61" s="10"/>
      <c r="P61" s="10"/>
      <c r="Q61" s="10"/>
      <c r="S61" s="1" t="s">
        <v>40</v>
      </c>
      <c r="T61" s="2"/>
      <c r="U61" s="2"/>
      <c r="V61" s="2"/>
      <c r="W61" s="2"/>
      <c r="X61" s="2"/>
      <c r="Y61" s="2"/>
      <c r="Z61" s="2"/>
      <c r="AB61" s="14" t="s">
        <v>46</v>
      </c>
      <c r="AC61" s="15"/>
      <c r="AD61" s="15"/>
      <c r="AE61" s="15"/>
      <c r="AF61" s="15"/>
      <c r="AG61" s="15"/>
      <c r="AH61" s="15"/>
      <c r="AI61" s="15"/>
      <c r="AJ61" s="6"/>
      <c r="AK61" s="16" t="s">
        <v>140</v>
      </c>
      <c r="AL61" s="17"/>
      <c r="AM61" s="17"/>
      <c r="AN61" s="17"/>
      <c r="AO61" s="17"/>
      <c r="AP61" s="17"/>
      <c r="AQ61" s="18"/>
      <c r="AR61" s="17"/>
    </row>
    <row r="62" spans="1:44" ht="31" x14ac:dyDescent="0.35">
      <c r="A62" s="3" t="s">
        <v>2</v>
      </c>
      <c r="E62" s="23" t="s">
        <v>18</v>
      </c>
      <c r="F62" s="6" t="s">
        <v>59</v>
      </c>
      <c r="J62" s="3" t="s">
        <v>2</v>
      </c>
      <c r="N62" s="23" t="s">
        <v>18</v>
      </c>
      <c r="O62" s="6" t="s">
        <v>20</v>
      </c>
      <c r="P62" s="6"/>
      <c r="Q62" s="6"/>
      <c r="S62" s="3" t="s">
        <v>2</v>
      </c>
      <c r="W62" s="23" t="s">
        <v>18</v>
      </c>
      <c r="X62" s="24" t="s">
        <v>39</v>
      </c>
      <c r="AB62" s="3" t="s">
        <v>2</v>
      </c>
      <c r="AF62" s="23" t="s">
        <v>18</v>
      </c>
      <c r="AG62" s="24" t="s">
        <v>45</v>
      </c>
      <c r="AK62" s="3" t="s">
        <v>2</v>
      </c>
      <c r="AO62" s="6" t="s">
        <v>3</v>
      </c>
      <c r="AP62" s="6" t="s">
        <v>139</v>
      </c>
      <c r="AQ62" s="6"/>
      <c r="AR62" s="6"/>
    </row>
    <row r="63" spans="1:44" x14ac:dyDescent="0.2">
      <c r="A63" s="7">
        <v>1</v>
      </c>
      <c r="B63" s="6">
        <v>2</v>
      </c>
      <c r="C63" s="6">
        <v>3</v>
      </c>
      <c r="D63" s="6">
        <v>4</v>
      </c>
      <c r="E63" s="7">
        <v>1</v>
      </c>
      <c r="F63" s="6">
        <v>2</v>
      </c>
      <c r="G63" s="6">
        <v>3</v>
      </c>
      <c r="H63" s="6">
        <v>4</v>
      </c>
      <c r="J63" s="7">
        <v>1</v>
      </c>
      <c r="K63" s="6">
        <v>2</v>
      </c>
      <c r="L63" s="6">
        <v>3</v>
      </c>
      <c r="M63" s="6">
        <v>4</v>
      </c>
      <c r="N63" s="7">
        <v>1</v>
      </c>
      <c r="O63" s="6">
        <v>2</v>
      </c>
      <c r="P63" s="6">
        <v>3</v>
      </c>
      <c r="Q63" s="6">
        <v>4</v>
      </c>
      <c r="S63" s="7">
        <v>1</v>
      </c>
      <c r="T63" s="6">
        <v>2</v>
      </c>
      <c r="U63" s="6">
        <v>3</v>
      </c>
      <c r="V63" s="6">
        <v>4</v>
      </c>
      <c r="W63" s="7">
        <v>1</v>
      </c>
      <c r="X63" s="6">
        <v>2</v>
      </c>
      <c r="Y63" s="6">
        <v>3</v>
      </c>
      <c r="Z63" s="6">
        <v>4</v>
      </c>
      <c r="AB63" s="7">
        <v>1</v>
      </c>
      <c r="AC63" s="6">
        <v>2</v>
      </c>
      <c r="AD63" s="6">
        <v>3</v>
      </c>
      <c r="AE63" s="6">
        <v>4</v>
      </c>
      <c r="AF63" s="7">
        <v>1</v>
      </c>
      <c r="AG63" s="6">
        <v>2</v>
      </c>
      <c r="AH63" s="6">
        <v>3</v>
      </c>
      <c r="AI63" s="6">
        <v>4</v>
      </c>
      <c r="AK63" s="7">
        <v>1</v>
      </c>
      <c r="AL63" s="6">
        <v>2</v>
      </c>
      <c r="AM63" s="6">
        <v>3</v>
      </c>
      <c r="AN63" s="6">
        <v>4</v>
      </c>
      <c r="AO63" s="7">
        <v>1</v>
      </c>
      <c r="AP63" s="6">
        <v>2</v>
      </c>
      <c r="AQ63" s="6">
        <v>3</v>
      </c>
      <c r="AR63" s="6">
        <v>4</v>
      </c>
    </row>
    <row r="64" spans="1:44" x14ac:dyDescent="0.2">
      <c r="A64">
        <v>126.4949402023919</v>
      </c>
      <c r="B64">
        <v>120.74517019319229</v>
      </c>
      <c r="C64">
        <v>160.99356025758971</v>
      </c>
      <c r="D64">
        <v>137.9944802207911</v>
      </c>
      <c r="E64">
        <v>22.916666666666671</v>
      </c>
      <c r="F64">
        <v>21.875</v>
      </c>
      <c r="G64">
        <v>29.166666666666671</v>
      </c>
      <c r="H64">
        <v>24.999999999999989</v>
      </c>
      <c r="J64">
        <f>286.11393692777/2</f>
        <v>143.056968463885</v>
      </c>
      <c r="K64">
        <f>286.11393692777/2</f>
        <v>143.056968463885</v>
      </c>
      <c r="L64">
        <f>324.26246185148/2</f>
        <v>162.13123092574</v>
      </c>
      <c r="M64">
        <f>324.26246185148/2</f>
        <v>162.13123092574</v>
      </c>
      <c r="N64">
        <f>(J64*100)/(60/98.3*1000)</f>
        <v>23.437499999999826</v>
      </c>
      <c r="O64">
        <f t="shared" ref="O64:O79" si="45">(K64*100)/(60/98.3*1000)</f>
        <v>23.437499999999826</v>
      </c>
      <c r="P64">
        <f t="shared" ref="P64:P79" si="46">(L64*100)/(60/98.3*1000)</f>
        <v>26.562500000000401</v>
      </c>
      <c r="Q64">
        <f t="shared" ref="Q64:Q79" si="47">(M64*100)/(60/98.3*1000)</f>
        <v>26.562500000000401</v>
      </c>
      <c r="S64">
        <v>192.00211864406779</v>
      </c>
      <c r="T64">
        <v>132.41525423728811</v>
      </c>
      <c r="U64">
        <v>172.1398305084746</v>
      </c>
      <c r="V64">
        <v>172.1398305084746</v>
      </c>
      <c r="W64">
        <v>30.208333333333339</v>
      </c>
      <c r="X64">
        <v>20.833333333333329</v>
      </c>
      <c r="Y64">
        <v>27.083333333333339</v>
      </c>
      <c r="Z64">
        <v>27.083333333333339</v>
      </c>
      <c r="AB64">
        <v>229.2176039119804</v>
      </c>
      <c r="AC64">
        <v>114.6088019559902</v>
      </c>
      <c r="AD64">
        <v>198.65525672371641</v>
      </c>
      <c r="AE64">
        <v>213.9364303178485</v>
      </c>
      <c r="AF64">
        <v>31.25</v>
      </c>
      <c r="AG64">
        <v>15.625</v>
      </c>
      <c r="AH64">
        <v>27.083333333333329</v>
      </c>
      <c r="AI64">
        <v>29.166666666666671</v>
      </c>
      <c r="AK64">
        <v>148.99261765610581</v>
      </c>
      <c r="AL64">
        <v>144.18640418332819</v>
      </c>
      <c r="AM64">
        <v>187.44232543832661</v>
      </c>
      <c r="AO64">
        <v>32.291666666666657</v>
      </c>
      <c r="AP64">
        <v>31.249999999999989</v>
      </c>
      <c r="AQ64">
        <v>40.624999999999993</v>
      </c>
    </row>
    <row r="65" spans="1:44" x14ac:dyDescent="0.2">
      <c r="A65">
        <v>155.24379024839001</v>
      </c>
      <c r="B65">
        <v>97.746090156393734</v>
      </c>
      <c r="C65">
        <v>155.24379024839001</v>
      </c>
      <c r="D65">
        <v>143.7442502299908</v>
      </c>
      <c r="E65">
        <v>28.125</v>
      </c>
      <c r="F65">
        <v>17.708333333333329</v>
      </c>
      <c r="G65">
        <v>28.125</v>
      </c>
      <c r="H65">
        <v>26.041666666666671</v>
      </c>
      <c r="J65">
        <v>114.44557477111</v>
      </c>
      <c r="K65">
        <v>171.66836215666001</v>
      </c>
      <c r="L65">
        <v>152.59409969481001</v>
      </c>
      <c r="M65">
        <v>178.02644964395</v>
      </c>
      <c r="N65">
        <f t="shared" ref="N65:N79" si="48">(J65*100)/(60/98.3*1000)</f>
        <v>18.750000000000188</v>
      </c>
      <c r="O65">
        <f t="shared" si="45"/>
        <v>28.124999999999464</v>
      </c>
      <c r="P65">
        <f t="shared" si="46"/>
        <v>24.999999999999705</v>
      </c>
      <c r="Q65">
        <f t="shared" si="47"/>
        <v>29.16666666666714</v>
      </c>
      <c r="S65">
        <v>125.79449152542369</v>
      </c>
      <c r="T65">
        <v>185.38135593220341</v>
      </c>
      <c r="U65">
        <v>172.13983050847449</v>
      </c>
      <c r="V65">
        <v>158.89830508474569</v>
      </c>
      <c r="W65">
        <v>19.791666666666671</v>
      </c>
      <c r="X65">
        <v>29.166666666666671</v>
      </c>
      <c r="Y65">
        <v>27.083333333333321</v>
      </c>
      <c r="Z65">
        <v>25</v>
      </c>
      <c r="AB65">
        <v>198.65525672371629</v>
      </c>
      <c r="AC65">
        <v>152.81173594132039</v>
      </c>
      <c r="AD65">
        <v>175.7334963325184</v>
      </c>
      <c r="AE65">
        <v>198.65525672371629</v>
      </c>
      <c r="AF65">
        <v>27.083333333333321</v>
      </c>
      <c r="AG65">
        <v>20.83333333333335</v>
      </c>
      <c r="AH65">
        <v>23.958333333333339</v>
      </c>
      <c r="AI65">
        <v>27.083333333333321</v>
      </c>
      <c r="AK65">
        <v>163.41125807443859</v>
      </c>
      <c r="AL65">
        <v>168.21747154721629</v>
      </c>
      <c r="AM65">
        <v>124.96155029221779</v>
      </c>
      <c r="AO65">
        <v>35.416666666666657</v>
      </c>
      <c r="AP65">
        <v>36.458333333333343</v>
      </c>
      <c r="AQ65">
        <v>27.083333333333339</v>
      </c>
    </row>
    <row r="66" spans="1:44" x14ac:dyDescent="0.2">
      <c r="A66">
        <v>143.74425022999071</v>
      </c>
      <c r="B66">
        <v>114.9954001839926</v>
      </c>
      <c r="C66">
        <v>149.49402023919041</v>
      </c>
      <c r="D66">
        <v>143.74425022999071</v>
      </c>
      <c r="E66">
        <v>26.04166666666665</v>
      </c>
      <c r="F66">
        <v>20.833333333333329</v>
      </c>
      <c r="G66">
        <v>27.083333333333329</v>
      </c>
      <c r="H66">
        <v>26.04166666666665</v>
      </c>
      <c r="J66">
        <f>267.03967446592/2</f>
        <v>133.51983723295999</v>
      </c>
      <c r="K66">
        <f>267.03967446592/2</f>
        <v>133.51983723295999</v>
      </c>
      <c r="L66">
        <v>171.66836215666001</v>
      </c>
      <c r="M66">
        <v>165.31027466937999</v>
      </c>
      <c r="N66">
        <f t="shared" si="48"/>
        <v>21.874999999999943</v>
      </c>
      <c r="O66">
        <f t="shared" si="45"/>
        <v>21.874999999999943</v>
      </c>
      <c r="P66">
        <f t="shared" si="46"/>
        <v>28.124999999999464</v>
      </c>
      <c r="Q66">
        <f t="shared" si="47"/>
        <v>27.083333333333421</v>
      </c>
      <c r="S66">
        <v>139.03601694915261</v>
      </c>
      <c r="T66">
        <v>158.89830508474569</v>
      </c>
      <c r="U66">
        <v>145.656779661017</v>
      </c>
      <c r="V66">
        <v>172.13983050847449</v>
      </c>
      <c r="W66">
        <v>21.875</v>
      </c>
      <c r="X66">
        <v>25</v>
      </c>
      <c r="Y66">
        <v>22.916666666666679</v>
      </c>
      <c r="Z66">
        <v>27.083333333333321</v>
      </c>
      <c r="AB66">
        <v>160.4523227383863</v>
      </c>
      <c r="AC66">
        <v>175.7334963325184</v>
      </c>
      <c r="AD66">
        <v>168.09290953545221</v>
      </c>
      <c r="AE66">
        <v>206.2958435207822</v>
      </c>
      <c r="AF66">
        <v>21.875</v>
      </c>
      <c r="AG66">
        <v>23.958333333333339</v>
      </c>
      <c r="AH66">
        <v>22.91666666666665</v>
      </c>
      <c r="AI66">
        <v>28.124999999999979</v>
      </c>
      <c r="AK66">
        <v>100.93048292832979</v>
      </c>
      <c r="AL66">
        <v>105.7366964011073</v>
      </c>
      <c r="AM66">
        <v>148.99261765610569</v>
      </c>
      <c r="AN66">
        <v>110.54290987388499</v>
      </c>
      <c r="AO66">
        <v>21.875</v>
      </c>
      <c r="AP66">
        <v>22.916666666666661</v>
      </c>
      <c r="AQ66">
        <v>32.291666666666643</v>
      </c>
      <c r="AR66">
        <v>23.95833333333335</v>
      </c>
    </row>
    <row r="67" spans="1:44" ht="17" x14ac:dyDescent="0.2">
      <c r="A67">
        <v>132.24471021159161</v>
      </c>
      <c r="B67">
        <v>126.4949402023919</v>
      </c>
      <c r="C67">
        <v>149.4940202391906</v>
      </c>
      <c r="D67">
        <v>149.49402023919041</v>
      </c>
      <c r="E67">
        <v>23.95833333333335</v>
      </c>
      <c r="F67">
        <v>22.916666666666679</v>
      </c>
      <c r="G67">
        <v>27.083333333333371</v>
      </c>
      <c r="H67">
        <v>27.083333333333329</v>
      </c>
      <c r="J67">
        <v>146.23601220753</v>
      </c>
      <c r="K67">
        <v>133.51983723295999</v>
      </c>
      <c r="L67">
        <v>158.9521871821</v>
      </c>
      <c r="M67">
        <v>171.66836215666001</v>
      </c>
      <c r="N67">
        <f t="shared" si="48"/>
        <v>23.958333333333666</v>
      </c>
      <c r="O67">
        <f t="shared" si="45"/>
        <v>21.874999999999943</v>
      </c>
      <c r="P67">
        <f t="shared" si="46"/>
        <v>26.041666666667385</v>
      </c>
      <c r="Q67">
        <f t="shared" si="47"/>
        <v>28.124999999999464</v>
      </c>
      <c r="S67">
        <v>172.13983050847449</v>
      </c>
      <c r="T67">
        <v>145.656779661017</v>
      </c>
      <c r="U67">
        <v>158.898305084746</v>
      </c>
      <c r="V67">
        <v>165.51906779661019</v>
      </c>
      <c r="W67">
        <v>27.083333333333321</v>
      </c>
      <c r="X67">
        <v>22.916666666666679</v>
      </c>
      <c r="Y67">
        <v>25.000000000000039</v>
      </c>
      <c r="Z67">
        <v>26.041666666666679</v>
      </c>
      <c r="AB67">
        <v>221.5770171149143</v>
      </c>
      <c r="AC67">
        <v>152.81173594132039</v>
      </c>
      <c r="AD67">
        <v>191.01466992665021</v>
      </c>
      <c r="AE67">
        <v>206.29584352078251</v>
      </c>
      <c r="AF67">
        <v>30.208333333333311</v>
      </c>
      <c r="AG67">
        <v>20.83333333333335</v>
      </c>
      <c r="AH67">
        <v>26.041666666666639</v>
      </c>
      <c r="AI67">
        <v>28.125</v>
      </c>
      <c r="AJ67" s="19"/>
      <c r="AK67">
        <v>96.124269455552167</v>
      </c>
      <c r="AL67">
        <v>100.93048292832989</v>
      </c>
      <c r="AM67">
        <v>124.96155029221769</v>
      </c>
      <c r="AN67">
        <v>124.96155029221769</v>
      </c>
      <c r="AO67">
        <v>20.833333333333339</v>
      </c>
      <c r="AP67">
        <v>21.875000000000021</v>
      </c>
      <c r="AQ67">
        <v>27.083333333333311</v>
      </c>
      <c r="AR67">
        <v>27.083333333333311</v>
      </c>
    </row>
    <row r="68" spans="1:44" x14ac:dyDescent="0.2">
      <c r="A68">
        <v>137.99448022079099</v>
      </c>
      <c r="B68">
        <v>114.9954001839928</v>
      </c>
      <c r="C68">
        <v>143.74425022999091</v>
      </c>
      <c r="D68">
        <v>155.2437902483903</v>
      </c>
      <c r="E68">
        <v>24.999999999999979</v>
      </c>
      <c r="F68">
        <v>20.833333333333371</v>
      </c>
      <c r="G68">
        <v>26.041666666666689</v>
      </c>
      <c r="H68">
        <v>28.125000000000039</v>
      </c>
      <c r="J68">
        <f>286.11393692777/2</f>
        <v>143.056968463885</v>
      </c>
      <c r="K68">
        <f>286.11393692777/2</f>
        <v>143.056968463885</v>
      </c>
      <c r="L68">
        <v>165.31027466937999</v>
      </c>
      <c r="M68">
        <v>158.9521871821</v>
      </c>
      <c r="N68">
        <f t="shared" si="48"/>
        <v>23.437499999999826</v>
      </c>
      <c r="O68">
        <f t="shared" si="45"/>
        <v>23.437499999999826</v>
      </c>
      <c r="P68">
        <f t="shared" si="46"/>
        <v>27.083333333333421</v>
      </c>
      <c r="Q68">
        <f t="shared" si="47"/>
        <v>26.041666666667385</v>
      </c>
      <c r="S68">
        <v>145.656779661017</v>
      </c>
      <c r="T68">
        <v>165.51906779661019</v>
      </c>
      <c r="U68">
        <v>152.2775423728813</v>
      </c>
      <c r="V68">
        <v>178.76059322033919</v>
      </c>
      <c r="W68">
        <v>22.916666666666679</v>
      </c>
      <c r="X68">
        <v>26.041666666666679</v>
      </c>
      <c r="Y68">
        <v>23.958333333333321</v>
      </c>
      <c r="Z68">
        <v>28.125000000000028</v>
      </c>
      <c r="AB68">
        <v>198.65525672371629</v>
      </c>
      <c r="AC68">
        <v>129.8899755501225</v>
      </c>
      <c r="AD68">
        <v>198.65525672371629</v>
      </c>
      <c r="AE68">
        <v>183.37408312958451</v>
      </c>
      <c r="AF68">
        <v>27.083333333333321</v>
      </c>
      <c r="AG68">
        <v>17.708333333333361</v>
      </c>
      <c r="AH68">
        <v>27.083333333333321</v>
      </c>
      <c r="AI68">
        <v>25.000000000000021</v>
      </c>
      <c r="AK68">
        <v>144.18640418332819</v>
      </c>
      <c r="AL68">
        <v>144.18640418332819</v>
      </c>
      <c r="AM68">
        <v>211.4733928022147</v>
      </c>
      <c r="AO68">
        <v>31.250000000000011</v>
      </c>
      <c r="AP68">
        <v>31.250000000000011</v>
      </c>
      <c r="AQ68">
        <v>45.833333333333329</v>
      </c>
    </row>
    <row r="69" spans="1:44" ht="17" x14ac:dyDescent="0.2">
      <c r="A69">
        <v>137.99448022079099</v>
      </c>
      <c r="B69">
        <v>109.24563017479301</v>
      </c>
      <c r="C69">
        <v>160.99356025758971</v>
      </c>
      <c r="D69">
        <v>143.74425022999091</v>
      </c>
      <c r="E69">
        <v>24.999999999999979</v>
      </c>
      <c r="F69">
        <v>19.791666666666661</v>
      </c>
      <c r="G69">
        <v>29.166666666666671</v>
      </c>
      <c r="H69">
        <v>26.041666666666689</v>
      </c>
      <c r="J69">
        <v>120.80366225839001</v>
      </c>
      <c r="K69">
        <v>158.9521871821</v>
      </c>
      <c r="L69">
        <v>152.59409969481001</v>
      </c>
      <c r="M69" s="19">
        <v>178.02644964395</v>
      </c>
      <c r="N69">
        <f t="shared" si="48"/>
        <v>19.791666666666231</v>
      </c>
      <c r="O69">
        <f t="shared" si="45"/>
        <v>26.041666666667385</v>
      </c>
      <c r="P69">
        <f t="shared" si="46"/>
        <v>24.999999999999705</v>
      </c>
      <c r="Q69">
        <f t="shared" si="47"/>
        <v>29.16666666666714</v>
      </c>
      <c r="S69">
        <v>165.51906779661019</v>
      </c>
      <c r="T69">
        <v>132.41525423728811</v>
      </c>
      <c r="U69">
        <v>172.13983050847449</v>
      </c>
      <c r="V69">
        <v>165.51906779661019</v>
      </c>
      <c r="W69">
        <v>26.041666666666679</v>
      </c>
      <c r="X69">
        <v>20.833333333333329</v>
      </c>
      <c r="Y69">
        <v>27.083333333333321</v>
      </c>
      <c r="Z69">
        <v>26.041666666666679</v>
      </c>
      <c r="AB69">
        <v>206.29584352078251</v>
      </c>
      <c r="AC69">
        <v>160.4523227383861</v>
      </c>
      <c r="AD69">
        <v>175.7334963325184</v>
      </c>
      <c r="AE69">
        <v>206.295843520782</v>
      </c>
      <c r="AF69">
        <v>28.125</v>
      </c>
      <c r="AG69">
        <v>21.874999999999972</v>
      </c>
      <c r="AH69">
        <v>23.958333333333339</v>
      </c>
      <c r="AI69">
        <v>28.12499999999994</v>
      </c>
      <c r="AK69">
        <v>139.38019071055081</v>
      </c>
      <c r="AL69">
        <v>168.21747154721609</v>
      </c>
      <c r="AM69">
        <v>115.34912334666249</v>
      </c>
      <c r="AO69">
        <v>30.208333333333371</v>
      </c>
      <c r="AP69">
        <v>36.458333333333293</v>
      </c>
      <c r="AQ69">
        <v>24.999999999999989</v>
      </c>
    </row>
    <row r="70" spans="1:44" ht="17" x14ac:dyDescent="0.2">
      <c r="A70">
        <v>149.49402023919041</v>
      </c>
      <c r="B70">
        <v>103.4958601655935</v>
      </c>
      <c r="C70">
        <v>149.49402023919041</v>
      </c>
      <c r="D70">
        <v>143.74425022999091</v>
      </c>
      <c r="E70">
        <v>27.083333333333329</v>
      </c>
      <c r="F70">
        <v>18.750000000000021</v>
      </c>
      <c r="G70">
        <v>27.083333333333329</v>
      </c>
      <c r="H70">
        <v>26.041666666666689</v>
      </c>
      <c r="J70">
        <f>279.75584944049/2</f>
        <v>139.87792472024501</v>
      </c>
      <c r="K70">
        <f>279.75584944049/2</f>
        <v>139.87792472024501</v>
      </c>
      <c r="L70" s="19">
        <v>165.31027466937999</v>
      </c>
      <c r="M70">
        <v>171.66836215666001</v>
      </c>
      <c r="N70">
        <f t="shared" si="48"/>
        <v>22.916666666666806</v>
      </c>
      <c r="O70">
        <f t="shared" si="45"/>
        <v>22.916666666666806</v>
      </c>
      <c r="P70">
        <f t="shared" si="46"/>
        <v>27.083333333333421</v>
      </c>
      <c r="Q70">
        <f t="shared" si="47"/>
        <v>28.124999999999464</v>
      </c>
      <c r="S70">
        <v>145.656779661017</v>
      </c>
      <c r="T70">
        <v>158.89830508474549</v>
      </c>
      <c r="U70">
        <v>165.51906779661019</v>
      </c>
      <c r="V70">
        <v>158.89830508474549</v>
      </c>
      <c r="W70">
        <v>22.916666666666679</v>
      </c>
      <c r="X70">
        <v>24.999999999999961</v>
      </c>
      <c r="Y70">
        <v>26.041666666666679</v>
      </c>
      <c r="Z70">
        <v>24.999999999999961</v>
      </c>
      <c r="AB70">
        <v>183.37408312958451</v>
      </c>
      <c r="AC70">
        <v>152.81173594131999</v>
      </c>
      <c r="AD70">
        <v>198.6552567237168</v>
      </c>
      <c r="AE70">
        <v>198.6552567237168</v>
      </c>
      <c r="AF70">
        <v>25.000000000000021</v>
      </c>
      <c r="AG70">
        <v>20.83333333333329</v>
      </c>
      <c r="AH70">
        <v>27.083333333333389</v>
      </c>
      <c r="AI70">
        <v>27.083333333333389</v>
      </c>
      <c r="AJ70" s="19"/>
      <c r="AK70">
        <v>110.54290987388499</v>
      </c>
      <c r="AL70">
        <v>110.54290987388499</v>
      </c>
      <c r="AM70">
        <v>120.15533681944</v>
      </c>
      <c r="AN70">
        <v>115.34912334666249</v>
      </c>
      <c r="AO70">
        <v>23.95833333333335</v>
      </c>
      <c r="AP70">
        <v>23.95833333333335</v>
      </c>
      <c r="AQ70">
        <v>26.041666666666629</v>
      </c>
      <c r="AR70">
        <v>24.999999999999989</v>
      </c>
    </row>
    <row r="71" spans="1:44" ht="17" x14ac:dyDescent="0.2">
      <c r="A71">
        <v>120.74517019319229</v>
      </c>
      <c r="B71">
        <v>126.4949402023917</v>
      </c>
      <c r="C71">
        <v>149.4940202391908</v>
      </c>
      <c r="D71">
        <v>160.99356025758971</v>
      </c>
      <c r="E71">
        <v>21.875</v>
      </c>
      <c r="F71">
        <v>22.916666666666629</v>
      </c>
      <c r="G71">
        <v>27.08333333333341</v>
      </c>
      <c r="H71">
        <v>29.166666666666671</v>
      </c>
      <c r="J71">
        <f>273.3977619532/2</f>
        <v>136.69888097660001</v>
      </c>
      <c r="K71">
        <f>273.3977619532/2</f>
        <v>136.69888097660001</v>
      </c>
      <c r="L71" s="19">
        <v>158.95218718209</v>
      </c>
      <c r="M71">
        <v>171.66836215666001</v>
      </c>
      <c r="N71">
        <f t="shared" si="48"/>
        <v>22.39583333333297</v>
      </c>
      <c r="O71">
        <f t="shared" si="45"/>
        <v>22.39583333333297</v>
      </c>
      <c r="P71">
        <f t="shared" si="46"/>
        <v>26.041666666665744</v>
      </c>
      <c r="Q71">
        <f t="shared" si="47"/>
        <v>28.124999999999464</v>
      </c>
      <c r="S71">
        <v>152.2775423728817</v>
      </c>
      <c r="T71">
        <v>152.2775423728817</v>
      </c>
      <c r="U71">
        <v>178.76059322033871</v>
      </c>
      <c r="V71">
        <v>152.2775423728817</v>
      </c>
      <c r="W71">
        <v>23.9583333333334</v>
      </c>
      <c r="X71">
        <v>23.9583333333334</v>
      </c>
      <c r="Y71">
        <v>28.124999999999961</v>
      </c>
      <c r="Z71">
        <v>23.9583333333334</v>
      </c>
      <c r="AB71">
        <v>213.93643031784811</v>
      </c>
      <c r="AC71">
        <v>122.24938875305629</v>
      </c>
      <c r="AD71">
        <v>168.09290953545221</v>
      </c>
      <c r="AE71">
        <v>221.5770171149143</v>
      </c>
      <c r="AF71">
        <v>29.166666666666629</v>
      </c>
      <c r="AG71">
        <v>16.666666666666679</v>
      </c>
      <c r="AH71">
        <v>22.91666666666665</v>
      </c>
      <c r="AI71">
        <v>30.208333333333311</v>
      </c>
      <c r="AK71">
        <v>129.76776376499541</v>
      </c>
      <c r="AL71">
        <v>129.76776376499541</v>
      </c>
      <c r="AM71">
        <v>81.705629037219296</v>
      </c>
      <c r="AN71">
        <v>120.15533681944</v>
      </c>
      <c r="AO71">
        <v>28.125</v>
      </c>
      <c r="AP71">
        <v>28.125</v>
      </c>
      <c r="AQ71">
        <v>17.708333333333329</v>
      </c>
      <c r="AR71">
        <v>26.041666666666629</v>
      </c>
    </row>
    <row r="72" spans="1:44" ht="17" x14ac:dyDescent="0.2">
      <c r="A72">
        <v>143.74425022999091</v>
      </c>
      <c r="B72">
        <v>103.4958601655935</v>
      </c>
      <c r="C72">
        <v>155.24379024838979</v>
      </c>
      <c r="D72">
        <v>149.4940202391908</v>
      </c>
      <c r="E72">
        <v>26.041666666666689</v>
      </c>
      <c r="F72">
        <v>18.750000000000021</v>
      </c>
      <c r="G72">
        <v>28.124999999999961</v>
      </c>
      <c r="H72">
        <v>27.08333333333341</v>
      </c>
      <c r="J72">
        <f>279.75584944049/2</f>
        <v>139.87792472024501</v>
      </c>
      <c r="K72">
        <f>279.75584944049/2</f>
        <v>139.87792472024501</v>
      </c>
      <c r="L72" s="19">
        <v>139.87792472024</v>
      </c>
      <c r="M72" s="19">
        <v>190.74262461851001</v>
      </c>
      <c r="N72">
        <f t="shared" si="48"/>
        <v>22.916666666666806</v>
      </c>
      <c r="O72">
        <f t="shared" si="45"/>
        <v>22.916666666666806</v>
      </c>
      <c r="P72">
        <f t="shared" si="46"/>
        <v>22.916666666665989</v>
      </c>
      <c r="Q72">
        <f t="shared" si="47"/>
        <v>31.249999999999226</v>
      </c>
      <c r="S72">
        <v>165.51906779661019</v>
      </c>
      <c r="T72">
        <v>139.0360169491523</v>
      </c>
      <c r="U72">
        <v>165.51906779661019</v>
      </c>
      <c r="V72">
        <v>172.13983050847489</v>
      </c>
      <c r="W72">
        <v>26.041666666666679</v>
      </c>
      <c r="X72">
        <v>21.874999999999972</v>
      </c>
      <c r="Y72">
        <v>26.041666666666679</v>
      </c>
      <c r="Z72">
        <v>27.083333333333389</v>
      </c>
      <c r="AB72">
        <v>168.09290953545221</v>
      </c>
      <c r="AC72">
        <v>168.09290953545221</v>
      </c>
      <c r="AD72">
        <v>191.01466992665061</v>
      </c>
      <c r="AE72">
        <v>175.7334963325184</v>
      </c>
      <c r="AF72">
        <v>22.91666666666665</v>
      </c>
      <c r="AG72">
        <v>22.91666666666665</v>
      </c>
      <c r="AH72">
        <v>26.0416666666667</v>
      </c>
      <c r="AI72">
        <v>23.958333333333339</v>
      </c>
      <c r="AK72">
        <v>148.99261765610569</v>
      </c>
      <c r="AL72">
        <v>144.18640418332819</v>
      </c>
      <c r="AM72">
        <v>173.02368501999351</v>
      </c>
      <c r="AO72">
        <v>32.291666666666643</v>
      </c>
      <c r="AP72">
        <v>31.250000000000011</v>
      </c>
      <c r="AQ72">
        <v>37.499999999999943</v>
      </c>
    </row>
    <row r="73" spans="1:44" ht="17" x14ac:dyDescent="0.2">
      <c r="A73">
        <v>126.4949402023922</v>
      </c>
      <c r="B73">
        <v>126.4949402023922</v>
      </c>
      <c r="C73">
        <v>143.74425022999091</v>
      </c>
      <c r="D73">
        <v>149.4940202391908</v>
      </c>
      <c r="E73">
        <v>22.916666666666721</v>
      </c>
      <c r="F73">
        <v>22.916666666666721</v>
      </c>
      <c r="G73">
        <v>26.041666666666689</v>
      </c>
      <c r="H73">
        <v>27.08333333333341</v>
      </c>
      <c r="J73">
        <v>120.80366225839001</v>
      </c>
      <c r="K73" s="19">
        <v>158.9521871821</v>
      </c>
      <c r="L73" s="19">
        <v>158.95218718209</v>
      </c>
      <c r="M73">
        <v>178.02644964395</v>
      </c>
      <c r="N73">
        <f t="shared" si="48"/>
        <v>19.791666666666231</v>
      </c>
      <c r="O73">
        <f t="shared" si="45"/>
        <v>26.041666666667385</v>
      </c>
      <c r="P73">
        <f t="shared" si="46"/>
        <v>26.041666666665744</v>
      </c>
      <c r="Q73">
        <f t="shared" si="47"/>
        <v>29.16666666666714</v>
      </c>
      <c r="S73">
        <v>152.2775423728817</v>
      </c>
      <c r="T73">
        <v>132.41525423728851</v>
      </c>
      <c r="U73">
        <v>172.13983050847489</v>
      </c>
      <c r="V73">
        <v>165.51906779661019</v>
      </c>
      <c r="W73">
        <v>23.9583333333334</v>
      </c>
      <c r="X73">
        <v>20.8333333333334</v>
      </c>
      <c r="Y73">
        <v>27.083333333333389</v>
      </c>
      <c r="Z73">
        <v>26.041666666666679</v>
      </c>
      <c r="AB73">
        <v>221.5770171149143</v>
      </c>
      <c r="AC73">
        <v>137.53056234718861</v>
      </c>
      <c r="AD73">
        <v>183.37408312958451</v>
      </c>
      <c r="AE73">
        <v>191.01466992665061</v>
      </c>
      <c r="AF73">
        <v>30.208333333333311</v>
      </c>
      <c r="AG73">
        <v>18.75000000000005</v>
      </c>
      <c r="AH73">
        <v>25.000000000000021</v>
      </c>
      <c r="AI73">
        <v>26.0416666666667</v>
      </c>
      <c r="AK73">
        <v>110.54290987388499</v>
      </c>
      <c r="AL73">
        <v>57.674561673331482</v>
      </c>
      <c r="AM73">
        <v>177.82989849277149</v>
      </c>
      <c r="AN73">
        <v>115.34912334666301</v>
      </c>
      <c r="AO73">
        <v>23.95833333333335</v>
      </c>
      <c r="AP73">
        <v>12.500000000000041</v>
      </c>
      <c r="AQ73">
        <v>38.541666666666671</v>
      </c>
      <c r="AR73">
        <v>25.000000000000089</v>
      </c>
    </row>
    <row r="74" spans="1:44" ht="17" x14ac:dyDescent="0.2">
      <c r="A74">
        <v>137.99448022079099</v>
      </c>
      <c r="B74">
        <v>120.74517019319229</v>
      </c>
      <c r="C74">
        <v>143.74425022999091</v>
      </c>
      <c r="D74">
        <v>155.24379024838979</v>
      </c>
      <c r="E74">
        <v>24.999999999999979</v>
      </c>
      <c r="F74">
        <v>21.875</v>
      </c>
      <c r="G74">
        <v>26.041666666666689</v>
      </c>
      <c r="H74">
        <v>28.124999999999961</v>
      </c>
      <c r="J74">
        <f>279.75584944049/2</f>
        <v>139.87792472024501</v>
      </c>
      <c r="K74">
        <f>279.75584944049/2</f>
        <v>139.87792472024501</v>
      </c>
      <c r="L74" s="19">
        <v>158.95218718209</v>
      </c>
      <c r="M74">
        <v>171.66836215666001</v>
      </c>
      <c r="N74">
        <f t="shared" si="48"/>
        <v>22.916666666666806</v>
      </c>
      <c r="O74">
        <f t="shared" si="45"/>
        <v>22.916666666666806</v>
      </c>
      <c r="P74">
        <f t="shared" si="46"/>
        <v>26.041666666665744</v>
      </c>
      <c r="Q74">
        <f t="shared" si="47"/>
        <v>28.124999999999464</v>
      </c>
      <c r="S74">
        <v>165.51906779661019</v>
      </c>
      <c r="T74">
        <v>139.0360169491523</v>
      </c>
      <c r="U74">
        <v>165.51906779661019</v>
      </c>
      <c r="V74">
        <v>145.656779661017</v>
      </c>
      <c r="W74">
        <v>26.041666666666679</v>
      </c>
      <c r="X74">
        <v>21.874999999999972</v>
      </c>
      <c r="Y74">
        <v>26.041666666666679</v>
      </c>
      <c r="Z74">
        <v>22.916666666666679</v>
      </c>
      <c r="AB74">
        <v>213.93643031784811</v>
      </c>
      <c r="AC74">
        <v>152.81173594131999</v>
      </c>
      <c r="AD74">
        <v>175.7334963325184</v>
      </c>
      <c r="AE74">
        <v>206.295843520782</v>
      </c>
      <c r="AF74">
        <v>29.166666666666629</v>
      </c>
      <c r="AG74">
        <v>20.83333333333329</v>
      </c>
      <c r="AH74">
        <v>23.958333333333339</v>
      </c>
      <c r="AI74">
        <v>28.12499999999994</v>
      </c>
      <c r="AK74">
        <v>115.34912334666301</v>
      </c>
      <c r="AL74">
        <v>96.124269455552167</v>
      </c>
      <c r="AM74">
        <v>134.57397723777291</v>
      </c>
      <c r="AN74">
        <v>110.54290987388499</v>
      </c>
      <c r="AO74">
        <v>25.000000000000089</v>
      </c>
      <c r="AP74">
        <v>20.833333333333339</v>
      </c>
      <c r="AQ74">
        <v>29.166666666666639</v>
      </c>
      <c r="AR74">
        <v>23.95833333333335</v>
      </c>
    </row>
    <row r="75" spans="1:44" ht="17" x14ac:dyDescent="0.2">
      <c r="A75">
        <v>114.9954001839924</v>
      </c>
      <c r="B75">
        <v>132.24471021159121</v>
      </c>
      <c r="C75">
        <v>143.74425022999091</v>
      </c>
      <c r="D75">
        <v>160.99356025758971</v>
      </c>
      <c r="E75">
        <v>20.83333333333329</v>
      </c>
      <c r="F75">
        <v>23.958333333333261</v>
      </c>
      <c r="G75">
        <v>26.041666666666689</v>
      </c>
      <c r="H75">
        <v>29.166666666666671</v>
      </c>
      <c r="J75">
        <v>139.87792472024</v>
      </c>
      <c r="K75">
        <v>139.87792472024</v>
      </c>
      <c r="L75" s="19">
        <v>152.59409969481001</v>
      </c>
      <c r="M75">
        <v>184.38453713122999</v>
      </c>
      <c r="N75">
        <f t="shared" si="48"/>
        <v>22.916666666665989</v>
      </c>
      <c r="O75">
        <f t="shared" si="45"/>
        <v>22.916666666665989</v>
      </c>
      <c r="P75">
        <f t="shared" si="46"/>
        <v>24.999999999999705</v>
      </c>
      <c r="Q75">
        <f t="shared" si="47"/>
        <v>30.208333333333179</v>
      </c>
      <c r="S75">
        <v>158.89830508474549</v>
      </c>
      <c r="T75">
        <v>152.2775423728817</v>
      </c>
      <c r="U75">
        <v>178.76059322033871</v>
      </c>
      <c r="V75">
        <v>145.656779661017</v>
      </c>
      <c r="W75">
        <v>24.999999999999961</v>
      </c>
      <c r="X75">
        <v>23.9583333333334</v>
      </c>
      <c r="Y75">
        <v>28.124999999999961</v>
      </c>
      <c r="Z75">
        <v>22.916666666666679</v>
      </c>
      <c r="AB75">
        <v>229.2176039119804</v>
      </c>
      <c r="AC75">
        <v>137.53056234718861</v>
      </c>
      <c r="AD75">
        <v>183.3740831295836</v>
      </c>
      <c r="AE75">
        <v>206.295843520782</v>
      </c>
      <c r="AF75">
        <v>31.249999999999989</v>
      </c>
      <c r="AG75">
        <v>18.75000000000005</v>
      </c>
      <c r="AH75">
        <v>24.999999999999901</v>
      </c>
      <c r="AI75">
        <v>28.12499999999994</v>
      </c>
      <c r="AK75">
        <v>153.79883112888359</v>
      </c>
      <c r="AL75">
        <v>173.02368501999351</v>
      </c>
      <c r="AM75">
        <v>134.57397723777291</v>
      </c>
      <c r="AO75">
        <v>33.333333333333378</v>
      </c>
      <c r="AP75">
        <v>37.499999999999943</v>
      </c>
      <c r="AQ75">
        <v>29.166666666666639</v>
      </c>
    </row>
    <row r="76" spans="1:44" ht="17" x14ac:dyDescent="0.2">
      <c r="A76">
        <v>149.4940202391908</v>
      </c>
      <c r="B76">
        <v>97.74609015639362</v>
      </c>
      <c r="C76">
        <v>149.4940202391908</v>
      </c>
      <c r="D76">
        <v>149.4940202391908</v>
      </c>
      <c r="E76">
        <v>27.08333333333341</v>
      </c>
      <c r="F76">
        <v>17.708333333333311</v>
      </c>
      <c r="G76">
        <v>27.08333333333341</v>
      </c>
      <c r="H76">
        <v>27.08333333333341</v>
      </c>
      <c r="J76" s="19">
        <f>279.75584944049/2</f>
        <v>139.87792472024501</v>
      </c>
      <c r="K76" s="19">
        <f t="shared" ref="K76:L76" si="49">279.75584944049/2</f>
        <v>139.87792472024501</v>
      </c>
      <c r="L76" s="19">
        <f t="shared" si="49"/>
        <v>139.87792472024501</v>
      </c>
      <c r="M76">
        <v>178.02644964395</v>
      </c>
      <c r="N76">
        <f t="shared" si="48"/>
        <v>22.916666666666806</v>
      </c>
      <c r="O76">
        <f t="shared" si="45"/>
        <v>22.916666666666806</v>
      </c>
      <c r="P76">
        <f t="shared" si="46"/>
        <v>22.916666666666806</v>
      </c>
      <c r="Q76">
        <f t="shared" si="47"/>
        <v>29.16666666666714</v>
      </c>
      <c r="S76">
        <v>152.2775423728817</v>
      </c>
      <c r="T76">
        <v>152.2775423728817</v>
      </c>
      <c r="U76">
        <v>165.51906779661019</v>
      </c>
      <c r="V76">
        <v>165.51906779660931</v>
      </c>
      <c r="W76">
        <v>23.9583333333334</v>
      </c>
      <c r="X76">
        <v>23.9583333333334</v>
      </c>
      <c r="Y76">
        <v>26.041666666666679</v>
      </c>
      <c r="Z76">
        <v>26.041666666666529</v>
      </c>
      <c r="AB76">
        <v>183.3740831295836</v>
      </c>
      <c r="AC76">
        <v>160.45232273838701</v>
      </c>
      <c r="AD76">
        <v>175.73349633251749</v>
      </c>
      <c r="AE76">
        <v>198.65525672371589</v>
      </c>
      <c r="AF76">
        <v>24.999999999999901</v>
      </c>
      <c r="AG76">
        <v>21.875000000000099</v>
      </c>
      <c r="AH76">
        <v>23.958333333333211</v>
      </c>
      <c r="AI76">
        <v>27.083333333333261</v>
      </c>
      <c r="AJ76" s="19"/>
      <c r="AK76">
        <v>139.38019071055081</v>
      </c>
      <c r="AL76">
        <v>144.1864041833278</v>
      </c>
      <c r="AM76">
        <v>216.27960627499209</v>
      </c>
      <c r="AO76">
        <v>30.208333333333371</v>
      </c>
      <c r="AP76">
        <v>31.249999999999911</v>
      </c>
      <c r="AQ76">
        <v>46.874999999999957</v>
      </c>
    </row>
    <row r="77" spans="1:44" ht="17" x14ac:dyDescent="0.2">
      <c r="A77">
        <v>155.24379024838979</v>
      </c>
      <c r="B77">
        <v>91.996320147193728</v>
      </c>
      <c r="C77">
        <v>160.99356025758971</v>
      </c>
      <c r="D77">
        <v>149.4940202391908</v>
      </c>
      <c r="E77">
        <v>28.124999999999961</v>
      </c>
      <c r="F77">
        <v>16.6666666666666</v>
      </c>
      <c r="G77">
        <v>29.166666666666671</v>
      </c>
      <c r="H77">
        <v>27.08333333333341</v>
      </c>
      <c r="J77" s="19">
        <v>127.16174974568</v>
      </c>
      <c r="K77">
        <v>158.95218718209</v>
      </c>
      <c r="L77" s="19">
        <v>158.9521871821</v>
      </c>
      <c r="M77">
        <v>165.31027466937999</v>
      </c>
      <c r="N77">
        <f t="shared" si="48"/>
        <v>20.833333333333904</v>
      </c>
      <c r="O77">
        <f t="shared" si="45"/>
        <v>26.041666666665744</v>
      </c>
      <c r="P77">
        <f t="shared" si="46"/>
        <v>26.041666666667385</v>
      </c>
      <c r="Q77">
        <f t="shared" si="47"/>
        <v>27.083333333333421</v>
      </c>
      <c r="S77">
        <v>172.13983050847489</v>
      </c>
      <c r="T77">
        <v>132.41525423728851</v>
      </c>
      <c r="U77">
        <v>172.13983050847489</v>
      </c>
      <c r="V77">
        <v>152.2775423728817</v>
      </c>
      <c r="W77">
        <v>27.083333333333389</v>
      </c>
      <c r="X77">
        <v>20.8333333333334</v>
      </c>
      <c r="Y77">
        <v>27.083333333333389</v>
      </c>
      <c r="Z77">
        <v>23.9583333333334</v>
      </c>
      <c r="AB77">
        <v>183.3740831295836</v>
      </c>
      <c r="AC77">
        <v>168.09290953545309</v>
      </c>
      <c r="AD77">
        <v>168.09290953545309</v>
      </c>
      <c r="AE77">
        <v>206.295843520782</v>
      </c>
      <c r="AF77">
        <v>24.999999999999901</v>
      </c>
      <c r="AG77">
        <v>22.916666666666782</v>
      </c>
      <c r="AH77">
        <v>22.916666666666782</v>
      </c>
      <c r="AI77">
        <v>28.12499999999994</v>
      </c>
      <c r="AJ77" s="19"/>
      <c r="AK77">
        <v>139.38019071055081</v>
      </c>
      <c r="AL77">
        <v>168.21747154721649</v>
      </c>
      <c r="AM77">
        <v>129.76776376499581</v>
      </c>
      <c r="AO77">
        <v>30.208333333333371</v>
      </c>
      <c r="AP77">
        <v>36.458333333333393</v>
      </c>
      <c r="AQ77">
        <v>28.125000000000099</v>
      </c>
    </row>
    <row r="78" spans="1:44" ht="19" x14ac:dyDescent="0.25">
      <c r="A78">
        <v>143.74425022999091</v>
      </c>
      <c r="B78">
        <v>109.2456301747934</v>
      </c>
      <c r="C78">
        <v>149.4940202391908</v>
      </c>
      <c r="D78">
        <v>143.74425022999</v>
      </c>
      <c r="E78">
        <v>26.041666666666689</v>
      </c>
      <c r="F78">
        <v>19.791666666666739</v>
      </c>
      <c r="G78">
        <v>27.08333333333341</v>
      </c>
      <c r="H78">
        <v>26.041666666666529</v>
      </c>
      <c r="J78" s="19">
        <v>146.23601220753</v>
      </c>
      <c r="K78" s="19">
        <v>146.23601220753</v>
      </c>
      <c r="L78" s="19">
        <v>165.31027466937999</v>
      </c>
      <c r="M78" s="19">
        <v>165.31027466937999</v>
      </c>
      <c r="N78">
        <f t="shared" si="48"/>
        <v>23.958333333333666</v>
      </c>
      <c r="O78">
        <f t="shared" si="45"/>
        <v>23.958333333333666</v>
      </c>
      <c r="P78">
        <f t="shared" si="46"/>
        <v>27.083333333333421</v>
      </c>
      <c r="Q78">
        <f t="shared" si="47"/>
        <v>27.083333333333421</v>
      </c>
      <c r="S78">
        <v>152.2775423728817</v>
      </c>
      <c r="T78">
        <v>158.89830508474549</v>
      </c>
      <c r="U78">
        <v>158.89830508474549</v>
      </c>
      <c r="V78">
        <v>172.13983050847489</v>
      </c>
      <c r="W78">
        <v>23.9583333333334</v>
      </c>
      <c r="X78">
        <v>24.999999999999961</v>
      </c>
      <c r="Y78">
        <v>24.999999999999961</v>
      </c>
      <c r="Z78">
        <v>27.083333333333389</v>
      </c>
      <c r="AB78">
        <v>206.295843520782</v>
      </c>
      <c r="AC78">
        <v>145.17114914425471</v>
      </c>
      <c r="AD78">
        <v>183.3740831295836</v>
      </c>
      <c r="AE78">
        <v>206.295843520782</v>
      </c>
      <c r="AF78">
        <v>28.12499999999994</v>
      </c>
      <c r="AG78">
        <v>19.791666666666728</v>
      </c>
      <c r="AH78">
        <v>24.999999999999901</v>
      </c>
      <c r="AI78">
        <v>28.12499999999994</v>
      </c>
      <c r="AJ78" s="21"/>
      <c r="AK78">
        <v>100.93048292833009</v>
      </c>
      <c r="AL78">
        <v>100.93048292833009</v>
      </c>
      <c r="AM78">
        <v>124.96155029221789</v>
      </c>
      <c r="AN78">
        <v>120.15533681944</v>
      </c>
      <c r="AO78">
        <v>21.875000000000071</v>
      </c>
      <c r="AP78">
        <v>21.875000000000071</v>
      </c>
      <c r="AQ78">
        <v>27.083333333333361</v>
      </c>
      <c r="AR78">
        <v>26.041666666666629</v>
      </c>
    </row>
    <row r="79" spans="1:44" ht="17" x14ac:dyDescent="0.2">
      <c r="A79">
        <v>160.99356025758971</v>
      </c>
      <c r="B79">
        <v>97.74609015639362</v>
      </c>
      <c r="C79">
        <v>155.2437902483907</v>
      </c>
      <c r="D79">
        <v>143.7442502299873</v>
      </c>
      <c r="E79">
        <v>29.166666666666671</v>
      </c>
      <c r="F79">
        <v>17.708333333333311</v>
      </c>
      <c r="G79">
        <v>28.125000000000121</v>
      </c>
      <c r="H79">
        <v>26.041666666666039</v>
      </c>
      <c r="J79" s="19">
        <v>120.80366225839001</v>
      </c>
      <c r="K79" s="19">
        <v>152.59409969481001</v>
      </c>
      <c r="L79" s="19">
        <v>171.66836215666001</v>
      </c>
      <c r="M79" s="19">
        <v>152.59409969481001</v>
      </c>
      <c r="N79">
        <f t="shared" si="48"/>
        <v>19.791666666666231</v>
      </c>
      <c r="O79">
        <f t="shared" si="45"/>
        <v>24.999999999999705</v>
      </c>
      <c r="P79">
        <f t="shared" si="46"/>
        <v>28.124999999999464</v>
      </c>
      <c r="Q79">
        <f t="shared" si="47"/>
        <v>24.999999999999705</v>
      </c>
      <c r="S79">
        <v>165.51906779660931</v>
      </c>
      <c r="T79">
        <v>139.0360169491523</v>
      </c>
      <c r="U79">
        <v>172.13983050847489</v>
      </c>
      <c r="V79">
        <v>158.89830508474191</v>
      </c>
      <c r="W79">
        <v>26.041666666666529</v>
      </c>
      <c r="X79">
        <v>21.874999999999972</v>
      </c>
      <c r="Y79">
        <v>27.083333333333389</v>
      </c>
      <c r="Z79">
        <v>24.999999999999389</v>
      </c>
      <c r="AB79">
        <v>183.3740831295836</v>
      </c>
      <c r="AC79">
        <v>152.8117359413209</v>
      </c>
      <c r="AD79">
        <v>191.0146699266497</v>
      </c>
      <c r="AE79">
        <v>198.65525672372129</v>
      </c>
      <c r="AF79">
        <v>24.999999999999901</v>
      </c>
      <c r="AG79">
        <v>20.83333333333341</v>
      </c>
      <c r="AH79">
        <v>26.041666666666579</v>
      </c>
      <c r="AI79">
        <v>27.083333333334</v>
      </c>
      <c r="AK79">
        <v>115.34912334666301</v>
      </c>
      <c r="AL79">
        <v>115.34912334666301</v>
      </c>
      <c r="AM79">
        <v>110.54290987388499</v>
      </c>
      <c r="AN79">
        <v>120.1553368194382</v>
      </c>
      <c r="AO79">
        <v>25.000000000000089</v>
      </c>
      <c r="AP79">
        <v>25.000000000000089</v>
      </c>
      <c r="AQ79">
        <v>23.95833333333335</v>
      </c>
      <c r="AR79">
        <v>26.041666666666231</v>
      </c>
    </row>
    <row r="80" spans="1:44" ht="31" x14ac:dyDescent="0.35">
      <c r="M80" s="21"/>
      <c r="N80" s="20"/>
      <c r="O80" s="20"/>
      <c r="P80" s="20"/>
      <c r="Q80" s="20"/>
      <c r="S80" s="3"/>
      <c r="W80" s="23"/>
      <c r="X80" s="6"/>
      <c r="Y80" s="6"/>
      <c r="Z80" s="6"/>
      <c r="AG80" s="3"/>
      <c r="AK80" s="23"/>
      <c r="AL80" s="6"/>
      <c r="AM80" s="6"/>
      <c r="AN80" s="6"/>
    </row>
    <row r="81" spans="1:44" ht="31" x14ac:dyDescent="0.35">
      <c r="A81" s="12" t="s">
        <v>34</v>
      </c>
      <c r="B81" s="13"/>
      <c r="C81" s="13"/>
      <c r="D81" s="13"/>
      <c r="E81" s="13"/>
      <c r="F81" s="13"/>
      <c r="G81" s="13"/>
      <c r="H81" s="13"/>
      <c r="J81" s="9" t="s">
        <v>15</v>
      </c>
      <c r="K81" s="10"/>
      <c r="L81" s="10"/>
      <c r="M81" s="10"/>
      <c r="N81" s="10"/>
      <c r="O81" s="10"/>
      <c r="P81" s="10"/>
      <c r="Q81" s="10"/>
      <c r="S81" s="1" t="s">
        <v>58</v>
      </c>
      <c r="T81" s="2"/>
      <c r="U81" s="2"/>
      <c r="V81" s="2"/>
      <c r="W81" s="2"/>
      <c r="X81" s="2"/>
      <c r="Y81" s="2"/>
      <c r="Z81" s="2"/>
      <c r="AB81" s="14" t="s">
        <v>48</v>
      </c>
      <c r="AC81" s="15"/>
      <c r="AD81" s="15"/>
      <c r="AE81" s="15"/>
      <c r="AF81" s="15"/>
      <c r="AG81" s="15"/>
      <c r="AH81" s="15"/>
      <c r="AI81" s="15"/>
      <c r="AJ81" s="6"/>
      <c r="AK81" s="16" t="s">
        <v>142</v>
      </c>
      <c r="AL81" s="17"/>
      <c r="AM81" s="17"/>
      <c r="AN81" s="17"/>
      <c r="AO81" s="17"/>
      <c r="AP81" s="17"/>
      <c r="AQ81" s="18"/>
      <c r="AR81" s="17"/>
    </row>
    <row r="82" spans="1:44" ht="31" x14ac:dyDescent="0.35">
      <c r="A82" s="3" t="s">
        <v>2</v>
      </c>
      <c r="E82" s="23" t="s">
        <v>18</v>
      </c>
      <c r="F82" s="6" t="s">
        <v>60</v>
      </c>
      <c r="J82" s="3" t="s">
        <v>2</v>
      </c>
      <c r="N82" s="23" t="s">
        <v>18</v>
      </c>
      <c r="O82" s="6" t="s">
        <v>21</v>
      </c>
      <c r="P82" s="6"/>
      <c r="Q82" s="6"/>
      <c r="S82" s="3" t="s">
        <v>2</v>
      </c>
      <c r="W82" s="23" t="s">
        <v>18</v>
      </c>
      <c r="X82" s="24" t="s">
        <v>55</v>
      </c>
      <c r="AB82" s="3" t="s">
        <v>2</v>
      </c>
      <c r="AF82" s="23" t="s">
        <v>18</v>
      </c>
      <c r="AG82" s="24" t="s">
        <v>47</v>
      </c>
      <c r="AH82" s="19"/>
      <c r="AI82" s="19"/>
      <c r="AJ82" s="19"/>
      <c r="AK82" s="3" t="s">
        <v>2</v>
      </c>
      <c r="AO82" s="6" t="s">
        <v>3</v>
      </c>
      <c r="AP82" s="6" t="s">
        <v>141</v>
      </c>
      <c r="AQ82" s="6"/>
      <c r="AR82" s="6"/>
    </row>
    <row r="83" spans="1:44" ht="17" x14ac:dyDescent="0.2">
      <c r="A83" s="7">
        <v>1</v>
      </c>
      <c r="B83" s="6">
        <v>2</v>
      </c>
      <c r="C83" s="6">
        <v>3</v>
      </c>
      <c r="D83" s="6">
        <v>4</v>
      </c>
      <c r="E83" s="7">
        <v>1</v>
      </c>
      <c r="F83" s="6">
        <v>2</v>
      </c>
      <c r="G83" s="6">
        <v>3</v>
      </c>
      <c r="H83" s="6">
        <v>4</v>
      </c>
      <c r="J83" s="7">
        <v>1</v>
      </c>
      <c r="K83" s="6">
        <v>2</v>
      </c>
      <c r="L83" s="6">
        <v>3</v>
      </c>
      <c r="M83" s="6">
        <v>4</v>
      </c>
      <c r="N83" s="7">
        <v>1</v>
      </c>
      <c r="O83" s="6">
        <v>2</v>
      </c>
      <c r="P83" s="6">
        <v>3</v>
      </c>
      <c r="Q83" s="6">
        <v>4</v>
      </c>
      <c r="S83" s="7">
        <v>1</v>
      </c>
      <c r="T83" s="6">
        <v>2</v>
      </c>
      <c r="U83" s="6">
        <v>3</v>
      </c>
      <c r="V83" s="6">
        <v>4</v>
      </c>
      <c r="W83" s="7">
        <v>1</v>
      </c>
      <c r="X83" s="6">
        <v>2</v>
      </c>
      <c r="Y83" s="6">
        <v>3</v>
      </c>
      <c r="Z83" s="6">
        <v>4</v>
      </c>
      <c r="AB83" s="7">
        <v>1</v>
      </c>
      <c r="AC83" s="6">
        <v>2</v>
      </c>
      <c r="AD83" s="6">
        <v>3</v>
      </c>
      <c r="AE83" s="6">
        <v>4</v>
      </c>
      <c r="AF83" s="7">
        <v>1</v>
      </c>
      <c r="AG83" s="6">
        <v>2</v>
      </c>
      <c r="AH83" s="6">
        <v>3</v>
      </c>
      <c r="AI83" s="6">
        <v>4</v>
      </c>
      <c r="AJ83" s="19"/>
      <c r="AK83" s="7">
        <v>1</v>
      </c>
      <c r="AL83" s="6">
        <v>2</v>
      </c>
      <c r="AM83" s="6">
        <v>3</v>
      </c>
      <c r="AN83" s="6">
        <v>4</v>
      </c>
      <c r="AO83" s="7">
        <v>1</v>
      </c>
      <c r="AP83" s="6">
        <v>2</v>
      </c>
      <c r="AQ83" s="6">
        <v>3</v>
      </c>
      <c r="AR83" s="6">
        <v>4</v>
      </c>
    </row>
    <row r="84" spans="1:44" ht="17" x14ac:dyDescent="0.2">
      <c r="A84">
        <v>135.86956521739131</v>
      </c>
      <c r="B84">
        <v>124.5471014492753</v>
      </c>
      <c r="C84">
        <v>147.19202898550719</v>
      </c>
      <c r="D84">
        <v>130.2083333333334</v>
      </c>
      <c r="E84">
        <v>25</v>
      </c>
      <c r="F84">
        <v>22.916666666666671</v>
      </c>
      <c r="G84">
        <v>27.083333333333339</v>
      </c>
      <c r="H84">
        <v>23.95833333333335</v>
      </c>
      <c r="J84" s="19">
        <v>116.06313834725999</v>
      </c>
      <c r="K84" s="19">
        <v>121.86629526462001</v>
      </c>
      <c r="L84" s="19">
        <v>162.48839368617001</v>
      </c>
      <c r="M84" s="19">
        <v>145.07892293408</v>
      </c>
      <c r="N84">
        <f>(J84*100)/(60/107.7*1000)</f>
        <v>20.833333333333165</v>
      </c>
      <c r="O84">
        <f t="shared" ref="O84:O99" si="50">(K84*100)/(60/107.7*1000)</f>
        <v>21.874999999999289</v>
      </c>
      <c r="P84">
        <f t="shared" ref="P84:P99" si="51">(L84*100)/(60/107.7*1000)</f>
        <v>29.166666666667517</v>
      </c>
      <c r="Q84">
        <f t="shared" ref="Q84:Q99" si="52">(M84*100)/(60/107.7*1000)</f>
        <v>26.041666666667357</v>
      </c>
      <c r="S84">
        <v>95</v>
      </c>
      <c r="T84">
        <v>105</v>
      </c>
      <c r="U84">
        <v>140</v>
      </c>
      <c r="V84">
        <v>145</v>
      </c>
      <c r="W84">
        <v>19.791666666666671</v>
      </c>
      <c r="X84">
        <v>21.875</v>
      </c>
      <c r="Y84">
        <v>29.166666666666671</v>
      </c>
      <c r="Z84">
        <v>30.208333333333329</v>
      </c>
      <c r="AB84">
        <v>180.3638644918444</v>
      </c>
      <c r="AC84">
        <v>180.3638644918444</v>
      </c>
      <c r="AD84">
        <v>188.2057716436637</v>
      </c>
      <c r="AE84">
        <v>203.88958594730229</v>
      </c>
      <c r="AF84">
        <v>23.958333333333329</v>
      </c>
      <c r="AG84">
        <v>23.958333333333329</v>
      </c>
      <c r="AH84">
        <v>25</v>
      </c>
      <c r="AI84">
        <v>27.083333333333329</v>
      </c>
      <c r="AJ84" s="19"/>
      <c r="AK84">
        <v>110.5684178140143</v>
      </c>
      <c r="AL84">
        <v>81.724482732097542</v>
      </c>
      <c r="AM84">
        <v>115.3757403276671</v>
      </c>
      <c r="AN84">
        <v>153.8343204368895</v>
      </c>
      <c r="AO84">
        <v>23.958333333333339</v>
      </c>
      <c r="AP84">
        <v>17.708333333333339</v>
      </c>
      <c r="AQ84">
        <v>25.000000000000011</v>
      </c>
      <c r="AR84">
        <v>33.333333333333343</v>
      </c>
    </row>
    <row r="85" spans="1:44" ht="17" x14ac:dyDescent="0.2">
      <c r="A85">
        <v>130.20833333333329</v>
      </c>
      <c r="B85">
        <v>135.86956521739131</v>
      </c>
      <c r="C85">
        <v>147.19202898550719</v>
      </c>
      <c r="D85">
        <v>141.53079710144931</v>
      </c>
      <c r="E85">
        <v>23.958333333333321</v>
      </c>
      <c r="F85">
        <v>24.999999999999989</v>
      </c>
      <c r="G85">
        <v>27.083333333333339</v>
      </c>
      <c r="H85">
        <v>26.041666666666661</v>
      </c>
      <c r="J85" s="19">
        <v>104.45682451253001</v>
      </c>
      <c r="K85" s="19">
        <v>150.88207985144001</v>
      </c>
      <c r="L85" s="19">
        <v>150.88207985144001</v>
      </c>
      <c r="M85" s="19">
        <v>127.66945218199</v>
      </c>
      <c r="N85">
        <f t="shared" ref="N85:N99" si="53">(J85*100)/(60/107.7*1000)</f>
        <v>18.749999999999133</v>
      </c>
      <c r="O85">
        <f t="shared" si="50"/>
        <v>27.083333333333478</v>
      </c>
      <c r="P85">
        <f t="shared" si="51"/>
        <v>27.083333333333478</v>
      </c>
      <c r="Q85">
        <f t="shared" si="52"/>
        <v>22.916666666667204</v>
      </c>
      <c r="S85">
        <v>90</v>
      </c>
      <c r="T85">
        <v>120</v>
      </c>
      <c r="U85">
        <v>135</v>
      </c>
      <c r="V85">
        <v>130</v>
      </c>
      <c r="W85">
        <v>18.75</v>
      </c>
      <c r="X85">
        <v>25</v>
      </c>
      <c r="Y85">
        <v>28.125</v>
      </c>
      <c r="Z85">
        <v>27.083333333333329</v>
      </c>
      <c r="AB85">
        <v>188.20577164366381</v>
      </c>
      <c r="AC85">
        <v>180.36386449184431</v>
      </c>
      <c r="AD85">
        <v>188.20577164366361</v>
      </c>
      <c r="AE85">
        <v>203.88958594730229</v>
      </c>
      <c r="AF85">
        <v>25</v>
      </c>
      <c r="AG85">
        <v>23.958333333333321</v>
      </c>
      <c r="AH85">
        <v>24.999999999999989</v>
      </c>
      <c r="AI85">
        <v>27.083333333333329</v>
      </c>
      <c r="AJ85" s="19"/>
      <c r="AK85">
        <v>110.5684178140143</v>
      </c>
      <c r="AL85">
        <v>81.724482732097499</v>
      </c>
      <c r="AM85">
        <v>105.7610953003615</v>
      </c>
      <c r="AN85">
        <v>158.64164295054229</v>
      </c>
      <c r="AO85">
        <v>23.958333333333339</v>
      </c>
      <c r="AP85">
        <v>17.708333333333329</v>
      </c>
      <c r="AQ85">
        <v>22.916666666666661</v>
      </c>
      <c r="AR85">
        <v>34.375000000000007</v>
      </c>
    </row>
    <row r="86" spans="1:44" ht="17" x14ac:dyDescent="0.2">
      <c r="A86">
        <v>135.86956521739131</v>
      </c>
      <c r="B86">
        <v>135.86956521739131</v>
      </c>
      <c r="C86">
        <v>141.53079710144931</v>
      </c>
      <c r="D86">
        <v>135.86956521739131</v>
      </c>
      <c r="E86">
        <v>24.999999999999989</v>
      </c>
      <c r="F86">
        <v>24.999999999999989</v>
      </c>
      <c r="G86">
        <v>26.041666666666661</v>
      </c>
      <c r="H86">
        <v>24.999999999999989</v>
      </c>
      <c r="J86" s="19">
        <v>127.66945218199</v>
      </c>
      <c r="K86" s="19">
        <v>127.66945218199</v>
      </c>
      <c r="L86" s="19">
        <v>179.89786443825</v>
      </c>
      <c r="M86" s="19">
        <v>145.07892293408</v>
      </c>
      <c r="N86">
        <f t="shared" si="53"/>
        <v>22.916666666667204</v>
      </c>
      <c r="O86">
        <f t="shared" si="50"/>
        <v>22.916666666667204</v>
      </c>
      <c r="P86">
        <f t="shared" si="51"/>
        <v>32.291666666665868</v>
      </c>
      <c r="Q86">
        <f t="shared" si="52"/>
        <v>26.041666666667357</v>
      </c>
      <c r="S86">
        <v>100</v>
      </c>
      <c r="T86">
        <v>105</v>
      </c>
      <c r="U86">
        <v>150</v>
      </c>
      <c r="V86">
        <v>145</v>
      </c>
      <c r="W86">
        <v>20.833333333333329</v>
      </c>
      <c r="X86">
        <v>21.875</v>
      </c>
      <c r="Y86">
        <v>31.25</v>
      </c>
      <c r="Z86">
        <v>30.208333333333329</v>
      </c>
      <c r="AB86">
        <v>172.52195734002501</v>
      </c>
      <c r="AC86">
        <v>180.3638644918444</v>
      </c>
      <c r="AD86">
        <v>203.88958594730249</v>
      </c>
      <c r="AE86">
        <v>196.04767879548311</v>
      </c>
      <c r="AF86">
        <v>22.91666666666665</v>
      </c>
      <c r="AG86">
        <v>23.958333333333339</v>
      </c>
      <c r="AH86">
        <v>27.08333333333335</v>
      </c>
      <c r="AI86">
        <v>26.041666666666671</v>
      </c>
      <c r="AJ86" s="19"/>
      <c r="AK86">
        <v>115.375740327667</v>
      </c>
      <c r="AL86">
        <v>100.9537727867087</v>
      </c>
      <c r="AM86">
        <v>110.5684178140143</v>
      </c>
      <c r="AN86">
        <v>129.79770786862559</v>
      </c>
      <c r="AO86">
        <v>24.999999999999979</v>
      </c>
      <c r="AP86">
        <v>21.874999999999989</v>
      </c>
      <c r="AQ86">
        <v>23.958333333333339</v>
      </c>
      <c r="AR86">
        <v>28.125000000000021</v>
      </c>
    </row>
    <row r="87" spans="1:44" ht="17" x14ac:dyDescent="0.2">
      <c r="A87">
        <v>135.86956521739131</v>
      </c>
      <c r="B87">
        <v>130.20833333333329</v>
      </c>
      <c r="C87">
        <v>147.19202898550719</v>
      </c>
      <c r="D87">
        <v>141.530797101449</v>
      </c>
      <c r="E87">
        <v>24.999999999999989</v>
      </c>
      <c r="F87">
        <v>23.958333333333321</v>
      </c>
      <c r="G87">
        <v>27.083333333333339</v>
      </c>
      <c r="H87">
        <v>26.041666666666629</v>
      </c>
      <c r="J87" s="19">
        <v>121.86629526462001</v>
      </c>
      <c r="K87" s="19">
        <v>121.86629526462001</v>
      </c>
      <c r="L87" s="19">
        <v>168.29155060353</v>
      </c>
      <c r="M87" s="19">
        <v>162.48839368617001</v>
      </c>
      <c r="N87">
        <f t="shared" si="53"/>
        <v>21.874999999999289</v>
      </c>
      <c r="O87">
        <f t="shared" si="50"/>
        <v>21.874999999999289</v>
      </c>
      <c r="P87">
        <f t="shared" si="51"/>
        <v>30.208333333333634</v>
      </c>
      <c r="Q87">
        <f t="shared" si="52"/>
        <v>29.166666666667517</v>
      </c>
      <c r="S87">
        <v>80</v>
      </c>
      <c r="T87">
        <v>140</v>
      </c>
      <c r="U87">
        <v>120</v>
      </c>
      <c r="V87">
        <v>130</v>
      </c>
      <c r="W87">
        <v>16.666666666666671</v>
      </c>
      <c r="X87">
        <v>29.166666666666671</v>
      </c>
      <c r="Y87">
        <v>25</v>
      </c>
      <c r="Z87">
        <v>27.083333333333329</v>
      </c>
      <c r="AB87">
        <v>196.04767879548311</v>
      </c>
      <c r="AC87">
        <v>164.6800501882058</v>
      </c>
      <c r="AD87">
        <v>172.52195734002501</v>
      </c>
      <c r="AE87">
        <v>211.73149309912151</v>
      </c>
      <c r="AF87">
        <v>26.041666666666671</v>
      </c>
      <c r="AG87">
        <v>21.875</v>
      </c>
      <c r="AH87">
        <v>22.91666666666665</v>
      </c>
      <c r="AI87">
        <v>28.124999999999979</v>
      </c>
      <c r="AJ87" s="19"/>
      <c r="AK87">
        <v>120.18306284131999</v>
      </c>
      <c r="AL87">
        <v>81.724482732097613</v>
      </c>
      <c r="AM87">
        <v>134.6050303822783</v>
      </c>
      <c r="AN87">
        <v>134.6050303822783</v>
      </c>
      <c r="AO87">
        <v>26.041666666666679</v>
      </c>
      <c r="AP87">
        <v>17.70833333333335</v>
      </c>
      <c r="AQ87">
        <v>29.166666666666671</v>
      </c>
      <c r="AR87">
        <v>29.166666666666671</v>
      </c>
    </row>
    <row r="88" spans="1:44" ht="17" x14ac:dyDescent="0.2">
      <c r="A88">
        <v>130.20833333333351</v>
      </c>
      <c r="B88">
        <v>130.20833333333351</v>
      </c>
      <c r="C88">
        <v>152.85326086956499</v>
      </c>
      <c r="D88">
        <v>135.86956521739151</v>
      </c>
      <c r="E88">
        <v>23.958333333333361</v>
      </c>
      <c r="F88">
        <v>23.958333333333361</v>
      </c>
      <c r="G88">
        <v>28.124999999999972</v>
      </c>
      <c r="H88">
        <v>25.000000000000039</v>
      </c>
      <c r="J88" s="19">
        <v>104.45682451254</v>
      </c>
      <c r="K88" s="19">
        <v>121.86629526462001</v>
      </c>
      <c r="L88" s="19">
        <v>162.48839368617001</v>
      </c>
      <c r="M88" s="19">
        <v>145.07892293408</v>
      </c>
      <c r="N88">
        <f t="shared" si="53"/>
        <v>18.750000000000927</v>
      </c>
      <c r="O88">
        <f t="shared" si="50"/>
        <v>21.874999999999289</v>
      </c>
      <c r="P88">
        <f t="shared" si="51"/>
        <v>29.166666666667517</v>
      </c>
      <c r="Q88">
        <f t="shared" si="52"/>
        <v>26.041666666667357</v>
      </c>
      <c r="S88">
        <v>115</v>
      </c>
      <c r="T88">
        <v>85</v>
      </c>
      <c r="U88">
        <v>160</v>
      </c>
      <c r="V88">
        <v>120</v>
      </c>
      <c r="W88">
        <v>23.958333333333329</v>
      </c>
      <c r="X88">
        <v>17.708333333333329</v>
      </c>
      <c r="Y88">
        <v>33.333333333333343</v>
      </c>
      <c r="Z88">
        <v>25</v>
      </c>
      <c r="AB88">
        <v>196.04767879548311</v>
      </c>
      <c r="AC88">
        <v>172.52195734002501</v>
      </c>
      <c r="AD88">
        <v>188.20577164366389</v>
      </c>
      <c r="AE88">
        <v>203.88958594730229</v>
      </c>
      <c r="AF88">
        <v>26.041666666666671</v>
      </c>
      <c r="AG88">
        <v>22.91666666666665</v>
      </c>
      <c r="AH88">
        <v>25.000000000000021</v>
      </c>
      <c r="AI88">
        <v>27.083333333333329</v>
      </c>
      <c r="AJ88" s="19"/>
      <c r="AK88">
        <v>110.5684178140143</v>
      </c>
      <c r="AL88">
        <v>81.724482732097613</v>
      </c>
      <c r="AM88">
        <v>115.375740327667</v>
      </c>
      <c r="AN88">
        <v>153.83432043688941</v>
      </c>
      <c r="AO88">
        <v>23.958333333333339</v>
      </c>
      <c r="AP88">
        <v>17.70833333333335</v>
      </c>
      <c r="AQ88">
        <v>24.999999999999979</v>
      </c>
      <c r="AR88">
        <v>33.333333333333307</v>
      </c>
    </row>
    <row r="89" spans="1:44" ht="17" x14ac:dyDescent="0.2">
      <c r="A89">
        <v>135.86956521739151</v>
      </c>
      <c r="B89">
        <v>130.20833333333351</v>
      </c>
      <c r="C89">
        <v>152.85326086956499</v>
      </c>
      <c r="D89">
        <v>113.22463768115951</v>
      </c>
      <c r="E89">
        <v>25.000000000000039</v>
      </c>
      <c r="F89">
        <v>23.958333333333361</v>
      </c>
      <c r="G89">
        <v>28.124999999999972</v>
      </c>
      <c r="H89">
        <v>20.83333333333335</v>
      </c>
      <c r="J89" s="19">
        <v>98.653667595171996</v>
      </c>
      <c r="K89" s="19">
        <v>145.07892293408</v>
      </c>
      <c r="L89" s="19">
        <v>174.09470752089001</v>
      </c>
      <c r="M89" s="19">
        <v>127.66945218199</v>
      </c>
      <c r="N89">
        <f t="shared" si="53"/>
        <v>17.708333333333371</v>
      </c>
      <c r="O89">
        <f t="shared" si="50"/>
        <v>26.041666666667357</v>
      </c>
      <c r="P89">
        <f t="shared" si="51"/>
        <v>31.249999999999751</v>
      </c>
      <c r="Q89">
        <f t="shared" si="52"/>
        <v>22.916666666667204</v>
      </c>
      <c r="S89">
        <v>85</v>
      </c>
      <c r="T89">
        <v>140</v>
      </c>
      <c r="U89">
        <v>135</v>
      </c>
      <c r="V89">
        <v>130</v>
      </c>
      <c r="W89">
        <v>17.708333333333329</v>
      </c>
      <c r="X89">
        <v>29.166666666666671</v>
      </c>
      <c r="Y89">
        <v>28.125</v>
      </c>
      <c r="Z89">
        <v>27.083333333333329</v>
      </c>
      <c r="AB89">
        <v>188.20577164366389</v>
      </c>
      <c r="AC89">
        <v>172.52195734002501</v>
      </c>
      <c r="AD89">
        <v>180.36386449184471</v>
      </c>
      <c r="AE89">
        <v>203.88958594730229</v>
      </c>
      <c r="AF89">
        <v>25.000000000000021</v>
      </c>
      <c r="AG89">
        <v>22.91666666666665</v>
      </c>
      <c r="AH89">
        <v>23.958333333333371</v>
      </c>
      <c r="AI89">
        <v>27.083333333333329</v>
      </c>
      <c r="AJ89" s="19"/>
      <c r="AK89">
        <v>96.146450273055962</v>
      </c>
      <c r="AL89">
        <v>96.146450273055962</v>
      </c>
      <c r="AM89">
        <v>129.79770786862539</v>
      </c>
      <c r="AN89">
        <v>134.6050303822785</v>
      </c>
      <c r="AO89">
        <v>20.833333333333339</v>
      </c>
      <c r="AP89">
        <v>20.833333333333339</v>
      </c>
      <c r="AQ89">
        <v>28.124999999999972</v>
      </c>
      <c r="AR89">
        <v>29.166666666666721</v>
      </c>
    </row>
    <row r="90" spans="1:44" ht="17" x14ac:dyDescent="0.2">
      <c r="A90">
        <v>147.19202898550699</v>
      </c>
      <c r="B90">
        <v>130.20833333333351</v>
      </c>
      <c r="C90">
        <v>164.17572463768099</v>
      </c>
      <c r="D90">
        <v>107.5634057971015</v>
      </c>
      <c r="E90">
        <v>27.0833333333333</v>
      </c>
      <c r="F90">
        <v>23.958333333333361</v>
      </c>
      <c r="G90">
        <v>30.208333333333311</v>
      </c>
      <c r="H90">
        <v>19.791666666666679</v>
      </c>
      <c r="J90" s="19">
        <v>110.25998142989999</v>
      </c>
      <c r="K90" s="19">
        <v>139.27576601671001</v>
      </c>
      <c r="L90" s="19">
        <v>168.29155060353</v>
      </c>
      <c r="M90" s="19">
        <v>179.89786443825</v>
      </c>
      <c r="N90">
        <f t="shared" si="53"/>
        <v>19.791666666667048</v>
      </c>
      <c r="O90">
        <f t="shared" si="50"/>
        <v>24.999999999999442</v>
      </c>
      <c r="P90">
        <f t="shared" si="51"/>
        <v>30.208333333333634</v>
      </c>
      <c r="Q90">
        <f t="shared" si="52"/>
        <v>32.291666666665868</v>
      </c>
      <c r="S90">
        <v>110</v>
      </c>
      <c r="T90">
        <v>115</v>
      </c>
      <c r="U90">
        <v>115</v>
      </c>
      <c r="V90">
        <v>120</v>
      </c>
      <c r="W90">
        <v>22.916666666666671</v>
      </c>
      <c r="X90">
        <v>23.958333333333329</v>
      </c>
      <c r="Y90">
        <v>23.958333333333329</v>
      </c>
      <c r="Z90">
        <v>25</v>
      </c>
      <c r="AB90">
        <v>203.88958594730229</v>
      </c>
      <c r="AC90">
        <v>172.52195734002541</v>
      </c>
      <c r="AD90">
        <v>211.73149309912151</v>
      </c>
      <c r="AE90">
        <v>172.52195734002541</v>
      </c>
      <c r="AF90">
        <v>27.083333333333329</v>
      </c>
      <c r="AG90">
        <v>22.91666666666671</v>
      </c>
      <c r="AH90">
        <v>28.124999999999979</v>
      </c>
      <c r="AI90">
        <v>22.91666666666671</v>
      </c>
      <c r="AJ90" s="19"/>
      <c r="AK90">
        <v>110.5684178140145</v>
      </c>
      <c r="AL90">
        <v>105.7610953003614</v>
      </c>
      <c r="AM90">
        <v>110.5684178140145</v>
      </c>
      <c r="AN90">
        <v>129.79770786862539</v>
      </c>
      <c r="AO90">
        <v>23.958333333333378</v>
      </c>
      <c r="AP90">
        <v>22.916666666666639</v>
      </c>
      <c r="AQ90">
        <v>23.958333333333378</v>
      </c>
      <c r="AR90">
        <v>28.124999999999972</v>
      </c>
    </row>
    <row r="91" spans="1:44" ht="17" x14ac:dyDescent="0.2">
      <c r="A91">
        <v>135.86956521739151</v>
      </c>
      <c r="B91">
        <v>135.86956521739151</v>
      </c>
      <c r="C91">
        <v>141.530797101449</v>
      </c>
      <c r="D91">
        <v>124.547101449275</v>
      </c>
      <c r="E91">
        <v>25.000000000000039</v>
      </c>
      <c r="F91">
        <v>25.000000000000039</v>
      </c>
      <c r="G91">
        <v>26.041666666666629</v>
      </c>
      <c r="H91">
        <v>22.916666666666611</v>
      </c>
      <c r="J91" s="19">
        <v>98.653667595173005</v>
      </c>
      <c r="K91" s="19">
        <v>121.86629526462001</v>
      </c>
      <c r="L91" s="19">
        <v>156.6852367688</v>
      </c>
      <c r="M91" s="19">
        <v>174.09470752089001</v>
      </c>
      <c r="N91">
        <f t="shared" si="53"/>
        <v>17.708333333333552</v>
      </c>
      <c r="O91">
        <f t="shared" si="50"/>
        <v>21.874999999999289</v>
      </c>
      <c r="P91">
        <f t="shared" si="51"/>
        <v>28.124999999999595</v>
      </c>
      <c r="Q91">
        <f t="shared" si="52"/>
        <v>31.249999999999751</v>
      </c>
      <c r="S91">
        <v>110</v>
      </c>
      <c r="T91">
        <v>125</v>
      </c>
      <c r="U91">
        <v>140</v>
      </c>
      <c r="V91">
        <v>125</v>
      </c>
      <c r="W91">
        <v>22.916666666666671</v>
      </c>
      <c r="X91">
        <v>26.041666666666671</v>
      </c>
      <c r="Y91">
        <v>29.166666666666671</v>
      </c>
      <c r="Z91">
        <v>26.041666666666671</v>
      </c>
      <c r="AB91">
        <v>188.20577164366389</v>
      </c>
      <c r="AC91">
        <v>164.68005018820531</v>
      </c>
      <c r="AD91">
        <v>196.04767879548311</v>
      </c>
      <c r="AE91">
        <v>203.88958594730229</v>
      </c>
      <c r="AF91">
        <v>25.000000000000021</v>
      </c>
      <c r="AG91">
        <v>21.87499999999994</v>
      </c>
      <c r="AH91">
        <v>26.041666666666671</v>
      </c>
      <c r="AI91">
        <v>27.083333333333329</v>
      </c>
      <c r="AJ91" s="19"/>
      <c r="AK91">
        <v>110.5684178140145</v>
      </c>
      <c r="AL91">
        <v>110.5684178140145</v>
      </c>
      <c r="AM91">
        <v>115.3757403276672</v>
      </c>
      <c r="AN91">
        <v>134.6050303822781</v>
      </c>
      <c r="AO91">
        <v>23.958333333333378</v>
      </c>
      <c r="AP91">
        <v>23.958333333333378</v>
      </c>
      <c r="AQ91">
        <v>25.000000000000028</v>
      </c>
      <c r="AR91">
        <v>29.166666666666622</v>
      </c>
    </row>
    <row r="92" spans="1:44" ht="17" x14ac:dyDescent="0.2">
      <c r="A92">
        <v>147.19202898550699</v>
      </c>
      <c r="B92">
        <v>141.530797101449</v>
      </c>
      <c r="C92">
        <v>130.208333333333</v>
      </c>
      <c r="D92">
        <v>118.88586956521701</v>
      </c>
      <c r="E92">
        <v>27.0833333333333</v>
      </c>
      <c r="F92">
        <v>26.041666666666629</v>
      </c>
      <c r="G92">
        <v>23.958333333333279</v>
      </c>
      <c r="H92">
        <v>21.87499999999994</v>
      </c>
      <c r="J92" s="19">
        <v>98.653667595173005</v>
      </c>
      <c r="K92" s="19">
        <v>121.86629526462001</v>
      </c>
      <c r="L92" s="19">
        <v>185.70102135561999</v>
      </c>
      <c r="M92" s="19">
        <v>127.66945218199</v>
      </c>
      <c r="N92">
        <f t="shared" si="53"/>
        <v>17.708333333333552</v>
      </c>
      <c r="O92">
        <f t="shared" si="50"/>
        <v>21.874999999999289</v>
      </c>
      <c r="P92">
        <f t="shared" si="51"/>
        <v>33.333333333333783</v>
      </c>
      <c r="Q92">
        <f t="shared" si="52"/>
        <v>22.916666666667204</v>
      </c>
      <c r="S92">
        <v>110</v>
      </c>
      <c r="T92">
        <v>110</v>
      </c>
      <c r="U92">
        <v>130</v>
      </c>
      <c r="V92">
        <v>120</v>
      </c>
      <c r="W92">
        <v>22.916666666666671</v>
      </c>
      <c r="X92">
        <v>22.916666666666671</v>
      </c>
      <c r="Y92">
        <v>27.083333333333329</v>
      </c>
      <c r="Z92">
        <v>25</v>
      </c>
      <c r="AB92">
        <v>180.36386449184471</v>
      </c>
      <c r="AC92">
        <v>172.52195734002541</v>
      </c>
      <c r="AD92">
        <v>196.04767879548311</v>
      </c>
      <c r="AE92">
        <v>196.04767879548311</v>
      </c>
      <c r="AF92">
        <v>23.958333333333371</v>
      </c>
      <c r="AG92">
        <v>22.91666666666671</v>
      </c>
      <c r="AH92">
        <v>26.041666666666671</v>
      </c>
      <c r="AI92">
        <v>26.041666666666671</v>
      </c>
      <c r="AJ92" s="19"/>
      <c r="AK92">
        <v>96.146450273055962</v>
      </c>
      <c r="AL92">
        <v>96.146450273055962</v>
      </c>
      <c r="AM92">
        <v>115.3757403276672</v>
      </c>
      <c r="AN92">
        <v>153.83432043688981</v>
      </c>
      <c r="AO92">
        <v>20.833333333333339</v>
      </c>
      <c r="AP92">
        <v>20.833333333333339</v>
      </c>
      <c r="AQ92">
        <v>25.000000000000028</v>
      </c>
      <c r="AR92">
        <v>33.333333333333407</v>
      </c>
    </row>
    <row r="93" spans="1:44" ht="17" x14ac:dyDescent="0.2">
      <c r="A93">
        <v>130.208333333333</v>
      </c>
      <c r="B93">
        <v>130.208333333333</v>
      </c>
      <c r="C93">
        <v>141.530797101449</v>
      </c>
      <c r="D93">
        <v>135.869565217391</v>
      </c>
      <c r="E93">
        <v>23.958333333333279</v>
      </c>
      <c r="F93">
        <v>23.958333333333279</v>
      </c>
      <c r="G93">
        <v>26.041666666666629</v>
      </c>
      <c r="H93">
        <v>24.99999999999995</v>
      </c>
      <c r="J93" s="19">
        <v>104.45682451254</v>
      </c>
      <c r="K93" s="19">
        <v>150.88207985144001</v>
      </c>
      <c r="L93" s="19">
        <v>162.48839368617001</v>
      </c>
      <c r="M93" s="19">
        <v>139.27576601671001</v>
      </c>
      <c r="N93">
        <f t="shared" si="53"/>
        <v>18.750000000000927</v>
      </c>
      <c r="O93">
        <f t="shared" si="50"/>
        <v>27.083333333333478</v>
      </c>
      <c r="P93">
        <f t="shared" si="51"/>
        <v>29.166666666667517</v>
      </c>
      <c r="Q93">
        <f t="shared" si="52"/>
        <v>24.999999999999442</v>
      </c>
      <c r="S93">
        <v>110</v>
      </c>
      <c r="T93">
        <v>125</v>
      </c>
      <c r="U93">
        <v>130</v>
      </c>
      <c r="V93">
        <v>125</v>
      </c>
      <c r="W93">
        <v>22.916666666666671</v>
      </c>
      <c r="X93">
        <v>26.041666666666671</v>
      </c>
      <c r="Y93">
        <v>27.083333333333329</v>
      </c>
      <c r="Z93">
        <v>26.041666666666671</v>
      </c>
      <c r="AB93">
        <v>196.04767879548311</v>
      </c>
      <c r="AC93">
        <v>164.68005018820531</v>
      </c>
      <c r="AD93">
        <v>196.04767879548311</v>
      </c>
      <c r="AE93">
        <v>196.04767879548311</v>
      </c>
      <c r="AF93">
        <v>26.041666666666671</v>
      </c>
      <c r="AG93">
        <v>21.87499999999994</v>
      </c>
      <c r="AH93">
        <v>26.041666666666671</v>
      </c>
      <c r="AI93">
        <v>26.041666666666671</v>
      </c>
      <c r="AJ93" s="19"/>
      <c r="AK93">
        <v>110.5684178140145</v>
      </c>
      <c r="AL93">
        <v>81.724482732097385</v>
      </c>
      <c r="AM93">
        <v>105.7610953003614</v>
      </c>
      <c r="AN93">
        <v>158.64164295054249</v>
      </c>
      <c r="AO93">
        <v>23.958333333333378</v>
      </c>
      <c r="AP93">
        <v>17.7083333333333</v>
      </c>
      <c r="AQ93">
        <v>22.916666666666639</v>
      </c>
      <c r="AR93">
        <v>34.375000000000057</v>
      </c>
    </row>
    <row r="94" spans="1:44" ht="17" x14ac:dyDescent="0.2">
      <c r="A94">
        <v>147.19202898550699</v>
      </c>
      <c r="B94">
        <v>147.19202898550699</v>
      </c>
      <c r="C94">
        <v>130.208333333333</v>
      </c>
      <c r="D94">
        <v>124.547101449275</v>
      </c>
      <c r="E94">
        <v>27.0833333333333</v>
      </c>
      <c r="F94">
        <v>27.0833333333333</v>
      </c>
      <c r="G94">
        <v>23.958333333333279</v>
      </c>
      <c r="H94">
        <v>22.916666666666611</v>
      </c>
      <c r="J94" s="19">
        <v>121.86629526462001</v>
      </c>
      <c r="K94" s="19">
        <v>133.47260909935</v>
      </c>
      <c r="L94" s="19">
        <v>156.6852367688</v>
      </c>
      <c r="M94" s="19">
        <v>179.89786443825</v>
      </c>
      <c r="N94">
        <f t="shared" si="53"/>
        <v>21.874999999999289</v>
      </c>
      <c r="O94">
        <f t="shared" si="50"/>
        <v>23.958333333333321</v>
      </c>
      <c r="P94">
        <f t="shared" si="51"/>
        <v>28.124999999999595</v>
      </c>
      <c r="Q94">
        <f t="shared" si="52"/>
        <v>32.291666666665868</v>
      </c>
      <c r="S94">
        <v>110</v>
      </c>
      <c r="T94">
        <v>110</v>
      </c>
      <c r="U94">
        <v>120</v>
      </c>
      <c r="V94">
        <v>135</v>
      </c>
      <c r="W94">
        <v>22.916666666666671</v>
      </c>
      <c r="X94">
        <v>22.916666666666671</v>
      </c>
      <c r="Y94">
        <v>25</v>
      </c>
      <c r="Z94">
        <v>28.125</v>
      </c>
      <c r="AB94">
        <v>196.04767879548311</v>
      </c>
      <c r="AC94">
        <v>180.36386449184471</v>
      </c>
      <c r="AD94">
        <v>196.04767879548311</v>
      </c>
      <c r="AE94">
        <v>188.20577164366301</v>
      </c>
      <c r="AF94">
        <v>26.041666666666671</v>
      </c>
      <c r="AG94">
        <v>23.958333333333371</v>
      </c>
      <c r="AH94">
        <v>26.041666666666671</v>
      </c>
      <c r="AI94">
        <v>24.999999999999901</v>
      </c>
      <c r="AJ94" s="19"/>
      <c r="AK94">
        <v>115.3757403276668</v>
      </c>
      <c r="AL94">
        <v>100.9537727867091</v>
      </c>
      <c r="AM94">
        <v>110.5684178140145</v>
      </c>
      <c r="AN94">
        <v>129.79770786862539</v>
      </c>
      <c r="AO94">
        <v>24.999999999999929</v>
      </c>
      <c r="AP94">
        <v>21.875000000000089</v>
      </c>
      <c r="AQ94">
        <v>23.958333333333378</v>
      </c>
      <c r="AR94">
        <v>28.124999999999972</v>
      </c>
    </row>
    <row r="95" spans="1:44" ht="17" x14ac:dyDescent="0.2">
      <c r="A95">
        <v>135.869565217391</v>
      </c>
      <c r="B95">
        <v>130.208333333333</v>
      </c>
      <c r="C95">
        <v>147.19202898550699</v>
      </c>
      <c r="D95">
        <v>130.208333333333</v>
      </c>
      <c r="E95">
        <v>24.99999999999995</v>
      </c>
      <c r="F95">
        <v>23.958333333333279</v>
      </c>
      <c r="G95">
        <v>27.0833333333333</v>
      </c>
      <c r="H95">
        <v>23.958333333333279</v>
      </c>
      <c r="J95" s="19">
        <v>92.850510677809993</v>
      </c>
      <c r="K95" s="19">
        <v>127.66945218199</v>
      </c>
      <c r="L95" s="19">
        <v>168.29155060353</v>
      </c>
      <c r="M95" s="19">
        <v>168.29155060353</v>
      </c>
      <c r="N95">
        <f t="shared" si="53"/>
        <v>16.666666666666892</v>
      </c>
      <c r="O95">
        <f t="shared" si="50"/>
        <v>22.916666666667204</v>
      </c>
      <c r="P95">
        <f t="shared" si="51"/>
        <v>30.208333333333634</v>
      </c>
      <c r="Q95">
        <f t="shared" si="52"/>
        <v>30.208333333333634</v>
      </c>
      <c r="S95">
        <v>110</v>
      </c>
      <c r="T95">
        <v>115</v>
      </c>
      <c r="U95">
        <v>130</v>
      </c>
      <c r="V95">
        <v>125</v>
      </c>
      <c r="W95">
        <v>22.916666666666671</v>
      </c>
      <c r="X95">
        <v>23.958333333333329</v>
      </c>
      <c r="Y95">
        <v>27.083333333333329</v>
      </c>
      <c r="Z95">
        <v>26.041666666666671</v>
      </c>
      <c r="AB95">
        <v>196.04767879548311</v>
      </c>
      <c r="AC95">
        <v>172.5219573400245</v>
      </c>
      <c r="AD95">
        <v>172.5219573400245</v>
      </c>
      <c r="AE95">
        <v>203.8895859473032</v>
      </c>
      <c r="AF95">
        <v>26.041666666666671</v>
      </c>
      <c r="AG95">
        <v>22.91666666666659</v>
      </c>
      <c r="AH95">
        <v>22.91666666666659</v>
      </c>
      <c r="AI95">
        <v>27.083333333333449</v>
      </c>
      <c r="AJ95" s="19"/>
      <c r="AK95">
        <v>120.18306284131999</v>
      </c>
      <c r="AL95">
        <v>81.724482732097385</v>
      </c>
      <c r="AM95">
        <v>134.6050303822785</v>
      </c>
      <c r="AN95">
        <v>134.6050303822785</v>
      </c>
      <c r="AO95">
        <v>26.041666666666679</v>
      </c>
      <c r="AP95">
        <v>17.7083333333333</v>
      </c>
      <c r="AQ95">
        <v>29.166666666666721</v>
      </c>
      <c r="AR95">
        <v>29.166666666666721</v>
      </c>
    </row>
    <row r="96" spans="1:44" ht="17" x14ac:dyDescent="0.2">
      <c r="A96">
        <v>135.869565217391</v>
      </c>
      <c r="B96">
        <v>130.208333333333</v>
      </c>
      <c r="C96">
        <v>147.19202898550699</v>
      </c>
      <c r="D96">
        <v>130.208333333333</v>
      </c>
      <c r="E96">
        <v>24.99999999999995</v>
      </c>
      <c r="F96">
        <v>23.958333333333279</v>
      </c>
      <c r="G96">
        <v>27.0833333333333</v>
      </c>
      <c r="H96">
        <v>23.958333333333279</v>
      </c>
      <c r="J96" s="19">
        <v>92.850510677808998</v>
      </c>
      <c r="K96" s="19">
        <v>127.66945218199</v>
      </c>
      <c r="L96" s="19">
        <v>162.48839368617001</v>
      </c>
      <c r="M96" s="19">
        <v>150.88207985144001</v>
      </c>
      <c r="N96">
        <f t="shared" si="53"/>
        <v>16.666666666666714</v>
      </c>
      <c r="O96">
        <f t="shared" si="50"/>
        <v>22.916666666667204</v>
      </c>
      <c r="P96">
        <f t="shared" si="51"/>
        <v>29.166666666667517</v>
      </c>
      <c r="Q96">
        <f t="shared" si="52"/>
        <v>27.083333333333478</v>
      </c>
      <c r="S96">
        <v>105</v>
      </c>
      <c r="T96">
        <v>120</v>
      </c>
      <c r="U96">
        <v>120</v>
      </c>
      <c r="V96">
        <v>130</v>
      </c>
      <c r="W96">
        <v>21.875</v>
      </c>
      <c r="X96">
        <v>25</v>
      </c>
      <c r="Y96">
        <v>25</v>
      </c>
      <c r="Z96">
        <v>27.083333333333329</v>
      </c>
      <c r="AB96">
        <v>203.8895859473032</v>
      </c>
      <c r="AC96">
        <v>164.6800501882062</v>
      </c>
      <c r="AD96">
        <v>172.5219573400245</v>
      </c>
      <c r="AE96">
        <v>211.73149309912151</v>
      </c>
      <c r="AF96">
        <v>27.083333333333449</v>
      </c>
      <c r="AG96">
        <v>21.87500000000006</v>
      </c>
      <c r="AH96">
        <v>22.91666666666659</v>
      </c>
      <c r="AI96">
        <v>28.124999999999979</v>
      </c>
      <c r="AJ96" s="19"/>
      <c r="AK96">
        <v>110.5684178140145</v>
      </c>
      <c r="AL96">
        <v>81.724482732097385</v>
      </c>
      <c r="AM96">
        <v>115.3757403276668</v>
      </c>
      <c r="AN96">
        <v>153.83432043688941</v>
      </c>
      <c r="AO96">
        <v>23.958333333333378</v>
      </c>
      <c r="AP96">
        <v>17.7083333333333</v>
      </c>
      <c r="AQ96">
        <v>24.999999999999929</v>
      </c>
      <c r="AR96">
        <v>33.333333333333307</v>
      </c>
    </row>
    <row r="97" spans="1:44" ht="17" x14ac:dyDescent="0.2">
      <c r="A97">
        <v>124.547101449275</v>
      </c>
      <c r="B97">
        <v>135.869565217391</v>
      </c>
      <c r="C97">
        <v>141.530797101449</v>
      </c>
      <c r="D97">
        <v>141.530797101449</v>
      </c>
      <c r="E97">
        <v>22.916666666666611</v>
      </c>
      <c r="F97">
        <v>24.99999999999995</v>
      </c>
      <c r="G97">
        <v>26.041666666666629</v>
      </c>
      <c r="H97">
        <v>26.041666666666629</v>
      </c>
      <c r="J97" s="19">
        <v>92.850510677808998</v>
      </c>
      <c r="K97" s="19">
        <v>156.6852367688</v>
      </c>
      <c r="L97" s="19">
        <v>162.48839368617001</v>
      </c>
      <c r="M97" s="19">
        <v>127.66945218199</v>
      </c>
      <c r="N97">
        <f t="shared" si="53"/>
        <v>16.666666666666714</v>
      </c>
      <c r="O97">
        <f t="shared" si="50"/>
        <v>28.124999999999595</v>
      </c>
      <c r="P97">
        <f t="shared" si="51"/>
        <v>29.166666666667517</v>
      </c>
      <c r="Q97">
        <f t="shared" si="52"/>
        <v>22.916666666667204</v>
      </c>
      <c r="S97">
        <v>110</v>
      </c>
      <c r="T97">
        <v>115</v>
      </c>
      <c r="U97">
        <v>125</v>
      </c>
      <c r="V97">
        <v>125</v>
      </c>
      <c r="W97">
        <v>22.916666666666671</v>
      </c>
      <c r="X97">
        <v>23.958333333333329</v>
      </c>
      <c r="Y97">
        <v>26.041666666666671</v>
      </c>
      <c r="Z97">
        <v>26.041666666666671</v>
      </c>
      <c r="AB97">
        <v>172.5219573400245</v>
      </c>
      <c r="AC97">
        <v>172.5219573400245</v>
      </c>
      <c r="AD97">
        <v>188.20577164366301</v>
      </c>
      <c r="AE97">
        <v>203.8895859473032</v>
      </c>
      <c r="AF97">
        <v>22.91666666666659</v>
      </c>
      <c r="AG97">
        <v>22.91666666666659</v>
      </c>
      <c r="AH97">
        <v>24.999999999999901</v>
      </c>
      <c r="AI97">
        <v>27.083333333333449</v>
      </c>
      <c r="AJ97" s="19"/>
      <c r="AK97">
        <v>96.146450273055962</v>
      </c>
      <c r="AL97">
        <v>96.146450273055962</v>
      </c>
      <c r="AM97">
        <v>129.79770786862539</v>
      </c>
      <c r="AN97">
        <v>134.6050303822785</v>
      </c>
      <c r="AO97">
        <v>20.833333333333339</v>
      </c>
      <c r="AP97">
        <v>20.833333333333339</v>
      </c>
      <c r="AQ97">
        <v>28.124999999999972</v>
      </c>
      <c r="AR97">
        <v>29.166666666666721</v>
      </c>
    </row>
    <row r="98" spans="1:44" ht="19" x14ac:dyDescent="0.25">
      <c r="A98">
        <v>130.208333333333</v>
      </c>
      <c r="B98">
        <v>130.208333333333</v>
      </c>
      <c r="C98">
        <v>130.208333333333</v>
      </c>
      <c r="D98">
        <v>141.530797101449</v>
      </c>
      <c r="E98">
        <v>23.958333333333279</v>
      </c>
      <c r="F98">
        <v>23.958333333333279</v>
      </c>
      <c r="G98">
        <v>23.958333333333279</v>
      </c>
      <c r="H98">
        <v>26.041666666666629</v>
      </c>
      <c r="J98" s="19">
        <v>127.66945218199</v>
      </c>
      <c r="K98" s="19">
        <v>145.07892293408</v>
      </c>
      <c r="L98" s="19">
        <v>156.6852367688</v>
      </c>
      <c r="M98" s="19">
        <v>174.09470752089001</v>
      </c>
      <c r="N98">
        <f t="shared" si="53"/>
        <v>22.916666666667204</v>
      </c>
      <c r="O98">
        <f t="shared" si="50"/>
        <v>26.041666666667357</v>
      </c>
      <c r="P98">
        <f t="shared" si="51"/>
        <v>28.124999999999595</v>
      </c>
      <c r="Q98">
        <f t="shared" si="52"/>
        <v>31.249999999999751</v>
      </c>
      <c r="S98">
        <v>110</v>
      </c>
      <c r="T98">
        <v>115</v>
      </c>
      <c r="U98">
        <v>120</v>
      </c>
      <c r="V98">
        <v>140</v>
      </c>
      <c r="W98">
        <v>22.916666666666671</v>
      </c>
      <c r="X98">
        <v>23.958333333333329</v>
      </c>
      <c r="Y98">
        <v>25</v>
      </c>
      <c r="Z98">
        <v>29.166666666666671</v>
      </c>
      <c r="AB98">
        <v>203.8895859473032</v>
      </c>
      <c r="AC98">
        <v>180.36386449184471</v>
      </c>
      <c r="AD98">
        <v>188.20577164366301</v>
      </c>
      <c r="AE98">
        <v>188.20577164366301</v>
      </c>
      <c r="AF98">
        <v>27.083333333333449</v>
      </c>
      <c r="AG98">
        <v>23.958333333333371</v>
      </c>
      <c r="AH98">
        <v>24.999999999999901</v>
      </c>
      <c r="AI98">
        <v>24.999999999999901</v>
      </c>
      <c r="AJ98" s="21"/>
      <c r="AK98">
        <v>110.5684178140145</v>
      </c>
      <c r="AL98">
        <v>105.7610953003614</v>
      </c>
      <c r="AM98">
        <v>110.5684178140145</v>
      </c>
      <c r="AN98">
        <v>129.79770786862539</v>
      </c>
      <c r="AO98">
        <v>23.958333333333378</v>
      </c>
      <c r="AP98">
        <v>22.916666666666639</v>
      </c>
      <c r="AQ98">
        <v>23.958333333333378</v>
      </c>
      <c r="AR98">
        <v>28.124999999999972</v>
      </c>
    </row>
    <row r="99" spans="1:44" ht="17" x14ac:dyDescent="0.2">
      <c r="A99">
        <v>130.208333333333</v>
      </c>
      <c r="B99">
        <v>130.20833333333391</v>
      </c>
      <c r="C99">
        <v>141.53079710144991</v>
      </c>
      <c r="D99">
        <v>141.53079710145539</v>
      </c>
      <c r="E99">
        <v>23.958333333333279</v>
      </c>
      <c r="F99">
        <v>23.958333333333449</v>
      </c>
      <c r="G99">
        <v>26.041666666666789</v>
      </c>
      <c r="H99">
        <v>26.041666666667801</v>
      </c>
      <c r="J99" s="19">
        <v>92.850510677809993</v>
      </c>
      <c r="K99" s="19">
        <v>127.66945218199</v>
      </c>
      <c r="L99" s="19">
        <v>156.6852367688</v>
      </c>
      <c r="M99" s="19">
        <v>156.6852367688</v>
      </c>
      <c r="N99">
        <f t="shared" si="53"/>
        <v>16.666666666666892</v>
      </c>
      <c r="O99">
        <f t="shared" si="50"/>
        <v>22.916666666667204</v>
      </c>
      <c r="P99">
        <f t="shared" si="51"/>
        <v>28.124999999999595</v>
      </c>
      <c r="Q99">
        <f t="shared" si="52"/>
        <v>28.124999999999595</v>
      </c>
      <c r="S99">
        <v>100</v>
      </c>
      <c r="T99">
        <v>110</v>
      </c>
      <c r="U99">
        <v>130</v>
      </c>
      <c r="V99">
        <v>130</v>
      </c>
      <c r="W99">
        <v>20.833333333333329</v>
      </c>
      <c r="X99">
        <v>22.916666666666671</v>
      </c>
      <c r="Y99">
        <v>27.083333333333329</v>
      </c>
      <c r="Z99">
        <v>27.083333333333329</v>
      </c>
      <c r="AB99">
        <v>188.20577164366301</v>
      </c>
      <c r="AC99">
        <v>164.6800501882062</v>
      </c>
      <c r="AD99">
        <v>188.20577164366301</v>
      </c>
      <c r="AE99">
        <v>219.57340025094351</v>
      </c>
      <c r="AF99">
        <v>24.999999999999901</v>
      </c>
      <c r="AG99">
        <v>21.87500000000006</v>
      </c>
      <c r="AH99">
        <v>24.999999999999901</v>
      </c>
      <c r="AI99">
        <v>29.166666666666991</v>
      </c>
      <c r="AK99">
        <v>110.5684178140145</v>
      </c>
      <c r="AL99">
        <v>110.5684178140145</v>
      </c>
      <c r="AM99">
        <v>115.3757403276668</v>
      </c>
      <c r="AN99">
        <v>134.6050303822758</v>
      </c>
      <c r="AO99">
        <v>23.958333333333378</v>
      </c>
      <c r="AP99">
        <v>23.958333333333378</v>
      </c>
      <c r="AQ99">
        <v>24.999999999999929</v>
      </c>
      <c r="AR99">
        <v>29.166666666666131</v>
      </c>
    </row>
    <row r="100" spans="1:44" ht="31" x14ac:dyDescent="0.35">
      <c r="A100" s="3"/>
      <c r="E100" s="23"/>
      <c r="F100" s="6"/>
      <c r="G100" s="6"/>
      <c r="H100" s="6"/>
      <c r="M100" s="21"/>
      <c r="N100" s="20"/>
      <c r="O100" s="20"/>
      <c r="P100" s="20"/>
      <c r="Q100" s="20"/>
      <c r="S100" s="3"/>
      <c r="W100" s="23"/>
      <c r="X100" s="6"/>
      <c r="Y100" s="6"/>
      <c r="Z100" s="6"/>
      <c r="AG100" s="3"/>
      <c r="AK100" s="23"/>
      <c r="AL100" s="6"/>
      <c r="AM100" s="6"/>
      <c r="AN100" s="6"/>
    </row>
    <row r="101" spans="1:44" ht="31" x14ac:dyDescent="0.35">
      <c r="A101" s="12" t="s">
        <v>35</v>
      </c>
      <c r="B101" s="13"/>
      <c r="C101" s="13"/>
      <c r="D101" s="13"/>
      <c r="E101" s="13"/>
      <c r="F101" s="13"/>
      <c r="G101" s="13"/>
      <c r="H101" s="13"/>
      <c r="J101" s="9" t="s">
        <v>16</v>
      </c>
      <c r="K101" s="10"/>
      <c r="L101" s="10"/>
      <c r="M101" s="10"/>
      <c r="N101" s="10"/>
      <c r="O101" s="10"/>
      <c r="P101" s="10"/>
      <c r="Q101" s="10"/>
      <c r="S101" s="1" t="s">
        <v>95</v>
      </c>
      <c r="T101" s="2"/>
      <c r="U101" s="2"/>
      <c r="V101" s="2"/>
      <c r="W101" s="2"/>
      <c r="X101" s="2"/>
      <c r="Y101" s="2"/>
      <c r="Z101" s="2"/>
      <c r="AB101" s="14" t="s">
        <v>50</v>
      </c>
      <c r="AC101" s="15"/>
      <c r="AD101" s="15"/>
      <c r="AE101" s="15"/>
      <c r="AF101" s="15"/>
      <c r="AG101" s="15"/>
      <c r="AH101" s="15"/>
      <c r="AI101" s="15"/>
      <c r="AJ101" s="6"/>
      <c r="AK101" s="16" t="s">
        <v>143</v>
      </c>
      <c r="AL101" s="17"/>
      <c r="AM101" s="17"/>
      <c r="AN101" s="17"/>
      <c r="AO101" s="17"/>
      <c r="AP101" s="17"/>
      <c r="AQ101" s="18"/>
      <c r="AR101" s="17"/>
    </row>
    <row r="102" spans="1:44" ht="31" x14ac:dyDescent="0.35">
      <c r="A102" s="3" t="s">
        <v>2</v>
      </c>
      <c r="E102" s="23" t="s">
        <v>18</v>
      </c>
      <c r="F102" s="6" t="s">
        <v>61</v>
      </c>
      <c r="J102" s="3" t="s">
        <v>2</v>
      </c>
      <c r="N102" s="23" t="s">
        <v>18</v>
      </c>
      <c r="O102" s="6" t="s">
        <v>22</v>
      </c>
      <c r="P102" s="6"/>
      <c r="Q102" s="6"/>
      <c r="S102" s="3" t="s">
        <v>2</v>
      </c>
      <c r="W102" s="23" t="s">
        <v>18</v>
      </c>
      <c r="X102" s="24" t="s">
        <v>89</v>
      </c>
      <c r="AB102" s="3" t="s">
        <v>2</v>
      </c>
      <c r="AF102" s="23" t="s">
        <v>18</v>
      </c>
      <c r="AG102" s="24" t="s">
        <v>49</v>
      </c>
      <c r="AH102" s="19"/>
      <c r="AI102" s="19"/>
      <c r="AJ102" s="19"/>
      <c r="AK102" s="3" t="s">
        <v>2</v>
      </c>
      <c r="AO102" s="6" t="s">
        <v>3</v>
      </c>
      <c r="AP102" s="6" t="s">
        <v>144</v>
      </c>
      <c r="AQ102" s="6"/>
      <c r="AR102" s="6"/>
    </row>
    <row r="103" spans="1:44" ht="17" x14ac:dyDescent="0.2">
      <c r="A103" s="7">
        <v>1</v>
      </c>
      <c r="B103" s="6">
        <v>2</v>
      </c>
      <c r="C103" s="6">
        <v>3</v>
      </c>
      <c r="D103" s="6">
        <v>4</v>
      </c>
      <c r="E103" s="7">
        <v>1</v>
      </c>
      <c r="F103" s="6">
        <v>2</v>
      </c>
      <c r="G103" s="6">
        <v>3</v>
      </c>
      <c r="H103" s="6">
        <v>4</v>
      </c>
      <c r="J103" s="7">
        <v>1</v>
      </c>
      <c r="K103" s="6">
        <v>2</v>
      </c>
      <c r="L103" s="6">
        <v>3</v>
      </c>
      <c r="M103" s="6">
        <v>4</v>
      </c>
      <c r="N103" s="7">
        <v>1</v>
      </c>
      <c r="O103" s="6">
        <v>2</v>
      </c>
      <c r="P103" s="6">
        <v>3</v>
      </c>
      <c r="Q103" s="6">
        <v>4</v>
      </c>
      <c r="S103" s="7">
        <v>1</v>
      </c>
      <c r="T103" s="6">
        <v>2</v>
      </c>
      <c r="U103" s="6">
        <v>3</v>
      </c>
      <c r="V103" s="6">
        <v>4</v>
      </c>
      <c r="W103" s="7">
        <v>1</v>
      </c>
      <c r="X103" s="6">
        <v>2</v>
      </c>
      <c r="Y103" s="6">
        <v>3</v>
      </c>
      <c r="Z103" s="6">
        <v>4</v>
      </c>
      <c r="AB103" s="7">
        <v>1</v>
      </c>
      <c r="AC103" s="6">
        <v>2</v>
      </c>
      <c r="AD103" s="6">
        <v>3</v>
      </c>
      <c r="AE103" s="6">
        <v>4</v>
      </c>
      <c r="AF103" s="7">
        <v>1</v>
      </c>
      <c r="AG103" s="6">
        <v>2</v>
      </c>
      <c r="AH103" s="6">
        <v>3</v>
      </c>
      <c r="AI103" s="6">
        <v>4</v>
      </c>
      <c r="AJ103" s="19"/>
      <c r="AK103" s="7">
        <v>1</v>
      </c>
      <c r="AL103" s="6">
        <v>2</v>
      </c>
      <c r="AM103" s="6">
        <v>3</v>
      </c>
      <c r="AN103" s="6">
        <v>4</v>
      </c>
      <c r="AO103" s="7">
        <v>1</v>
      </c>
      <c r="AP103" s="6">
        <v>2</v>
      </c>
      <c r="AQ103" s="6">
        <v>3</v>
      </c>
      <c r="AR103" s="6">
        <v>4</v>
      </c>
    </row>
    <row r="104" spans="1:44" ht="17" x14ac:dyDescent="0.2">
      <c r="A104">
        <v>152.3883409065721</v>
      </c>
      <c r="B104">
        <v>145.46159813809149</v>
      </c>
      <c r="C104">
        <v>173.16856921201369</v>
      </c>
      <c r="D104">
        <v>193.9487975174554</v>
      </c>
      <c r="E104">
        <v>22.916666666666661</v>
      </c>
      <c r="F104">
        <v>21.875</v>
      </c>
      <c r="G104">
        <v>26.041666666666661</v>
      </c>
      <c r="H104">
        <v>29.166666666666661</v>
      </c>
      <c r="J104" s="19">
        <v>149.40239043824999</v>
      </c>
      <c r="K104" s="19">
        <v>136.95219123506001</v>
      </c>
      <c r="L104" s="19">
        <v>143.17729083665</v>
      </c>
      <c r="M104" s="19">
        <v>174.30278884462001</v>
      </c>
      <c r="N104">
        <f>(J104*100)/(60/100.4*1000)</f>
        <v>25.000000000000504</v>
      </c>
      <c r="O104">
        <f t="shared" ref="O104:O119" si="54">(K104*100)/(60/100.4*1000)</f>
        <v>22.916666666666714</v>
      </c>
      <c r="P104">
        <f t="shared" ref="P104:P119" si="55">(L104*100)/(60/100.4*1000)</f>
        <v>23.958333333332774</v>
      </c>
      <c r="Q104">
        <f t="shared" ref="Q104:Q119" si="56">(M104*100)/(60/100.4*1000)</f>
        <v>29.166666666666419</v>
      </c>
      <c r="S104">
        <v>132.52756573367259</v>
      </c>
      <c r="T104">
        <v>95.419847328244288</v>
      </c>
      <c r="U104">
        <v>159.0330788804072</v>
      </c>
      <c r="V104">
        <v>127.2264631043257</v>
      </c>
      <c r="W104">
        <v>26.041666666666671</v>
      </c>
      <c r="X104">
        <v>18.75</v>
      </c>
      <c r="Y104">
        <v>31.250000000000011</v>
      </c>
      <c r="Z104">
        <v>25</v>
      </c>
      <c r="AB104">
        <v>213.18465070514921</v>
      </c>
      <c r="AC104">
        <v>180.3870121351263</v>
      </c>
      <c r="AD104">
        <v>196.7858314201377</v>
      </c>
      <c r="AE104">
        <v>237.78287963266641</v>
      </c>
      <c r="AF104">
        <v>27.083333333333339</v>
      </c>
      <c r="AG104">
        <v>22.916666666666671</v>
      </c>
      <c r="AH104">
        <v>24.999999999999989</v>
      </c>
      <c r="AI104">
        <v>30.208333333333329</v>
      </c>
      <c r="AJ104" s="19"/>
      <c r="AK104">
        <v>153.84615384615381</v>
      </c>
      <c r="AL104">
        <v>153.84615384615381</v>
      </c>
      <c r="AM104">
        <v>153.8461538461539</v>
      </c>
      <c r="AO104">
        <v>33.333333333333329</v>
      </c>
      <c r="AP104">
        <v>33.333333333333329</v>
      </c>
      <c r="AQ104">
        <v>33.333333333333343</v>
      </c>
    </row>
    <row r="105" spans="1:44" ht="17" x14ac:dyDescent="0.2">
      <c r="A105">
        <v>152.38834090657201</v>
      </c>
      <c r="B105">
        <v>152.38834090657201</v>
      </c>
      <c r="C105">
        <v>173.16856921201381</v>
      </c>
      <c r="D105">
        <v>193.9487975174554</v>
      </c>
      <c r="E105">
        <v>22.91666666666665</v>
      </c>
      <c r="F105">
        <v>22.91666666666665</v>
      </c>
      <c r="G105">
        <v>26.041666666666679</v>
      </c>
      <c r="H105">
        <v>29.166666666666671</v>
      </c>
      <c r="J105" s="19">
        <v>136.95219123506001</v>
      </c>
      <c r="K105" s="19">
        <v>130.72709163347</v>
      </c>
      <c r="L105" s="19">
        <v>149.40239043824999</v>
      </c>
      <c r="M105" s="19">
        <v>174.30278884462001</v>
      </c>
      <c r="N105">
        <f t="shared" ref="N105:N119" si="57">(J105*100)/(60/100.4*1000)</f>
        <v>22.916666666666714</v>
      </c>
      <c r="O105">
        <f t="shared" si="54"/>
        <v>21.87500000000065</v>
      </c>
      <c r="P105">
        <f t="shared" si="55"/>
        <v>25.000000000000504</v>
      </c>
      <c r="Q105">
        <f t="shared" si="56"/>
        <v>29.166666666666419</v>
      </c>
      <c r="S105">
        <v>127.2264631043257</v>
      </c>
      <c r="T105">
        <v>127.2264631043257</v>
      </c>
      <c r="U105">
        <v>121.9253604749788</v>
      </c>
      <c r="V105">
        <v>121.9253604749788</v>
      </c>
      <c r="W105">
        <v>25</v>
      </c>
      <c r="X105">
        <v>25</v>
      </c>
      <c r="Y105">
        <v>23.958333333333329</v>
      </c>
      <c r="Z105">
        <v>23.958333333333329</v>
      </c>
      <c r="AB105">
        <v>204.98524106264361</v>
      </c>
      <c r="AC105">
        <v>172.1876024926205</v>
      </c>
      <c r="AD105">
        <v>172.1876024926205</v>
      </c>
      <c r="AE105">
        <v>245.98228927517221</v>
      </c>
      <c r="AF105">
        <v>26.041666666666679</v>
      </c>
      <c r="AG105">
        <v>21.875</v>
      </c>
      <c r="AH105">
        <v>21.875</v>
      </c>
      <c r="AI105">
        <v>31.25</v>
      </c>
      <c r="AJ105" s="19"/>
      <c r="AK105">
        <v>187.5</v>
      </c>
      <c r="AL105">
        <v>134.61538461538461</v>
      </c>
      <c r="AM105">
        <v>139.42307692307691</v>
      </c>
      <c r="AO105">
        <v>40.625</v>
      </c>
      <c r="AP105">
        <v>29.166666666666671</v>
      </c>
      <c r="AQ105">
        <v>30.208333333333329</v>
      </c>
    </row>
    <row r="106" spans="1:44" ht="17" x14ac:dyDescent="0.2">
      <c r="A106">
        <v>145.4615981380914</v>
      </c>
      <c r="B106">
        <v>145.4615981380916</v>
      </c>
      <c r="C106">
        <v>180.09531198049419</v>
      </c>
      <c r="D106">
        <v>193.9487975174554</v>
      </c>
      <c r="E106">
        <v>21.874999999999979</v>
      </c>
      <c r="F106">
        <v>21.875000000000011</v>
      </c>
      <c r="G106">
        <v>27.083333333333321</v>
      </c>
      <c r="H106">
        <v>29.166666666666671</v>
      </c>
      <c r="J106" s="19">
        <v>143.17729083665</v>
      </c>
      <c r="K106" s="19">
        <v>143.17729083665</v>
      </c>
      <c r="L106" s="19">
        <v>143.17729083665</v>
      </c>
      <c r="M106" s="19">
        <v>180.52788844622</v>
      </c>
      <c r="N106">
        <f t="shared" si="57"/>
        <v>23.958333333332774</v>
      </c>
      <c r="O106">
        <f t="shared" si="54"/>
        <v>23.958333333332774</v>
      </c>
      <c r="P106">
        <f t="shared" si="55"/>
        <v>23.958333333332774</v>
      </c>
      <c r="Q106">
        <f t="shared" si="56"/>
        <v>30.208333333334156</v>
      </c>
      <c r="S106">
        <v>148.4308736217134</v>
      </c>
      <c r="T106">
        <v>111.3231552162849</v>
      </c>
      <c r="U106">
        <v>116.624257845632</v>
      </c>
      <c r="V106">
        <v>137.82866836301949</v>
      </c>
      <c r="W106">
        <v>29.166666666666689</v>
      </c>
      <c r="X106">
        <v>21.874999999999989</v>
      </c>
      <c r="Y106">
        <v>22.916666666666689</v>
      </c>
      <c r="Z106">
        <v>27.083333333333329</v>
      </c>
      <c r="AB106">
        <v>180.3870121351263</v>
      </c>
      <c r="AC106">
        <v>180.3870121351263</v>
      </c>
      <c r="AD106">
        <v>204.98524106264341</v>
      </c>
      <c r="AE106">
        <v>196.78583142013761</v>
      </c>
      <c r="AF106">
        <v>22.916666666666671</v>
      </c>
      <c r="AG106">
        <v>22.916666666666671</v>
      </c>
      <c r="AH106">
        <v>26.04166666666665</v>
      </c>
      <c r="AI106">
        <v>24.999999999999979</v>
      </c>
      <c r="AJ106" s="19"/>
      <c r="AK106">
        <v>182.69230769230759</v>
      </c>
      <c r="AL106">
        <v>139.42307692307691</v>
      </c>
      <c r="AM106">
        <v>139.42307692307691</v>
      </c>
      <c r="AO106">
        <v>39.583333333333307</v>
      </c>
      <c r="AP106">
        <v>30.208333333333329</v>
      </c>
      <c r="AQ106">
        <v>30.208333333333329</v>
      </c>
    </row>
    <row r="107" spans="1:44" ht="17" x14ac:dyDescent="0.2">
      <c r="A107">
        <v>145.4615981380916</v>
      </c>
      <c r="B107">
        <v>138.5348553696108</v>
      </c>
      <c r="C107">
        <v>200.87554028593601</v>
      </c>
      <c r="D107">
        <v>180.09531198049439</v>
      </c>
      <c r="E107">
        <v>21.875000000000011</v>
      </c>
      <c r="F107">
        <v>20.8333333333333</v>
      </c>
      <c r="G107">
        <v>30.20833333333335</v>
      </c>
      <c r="H107">
        <v>27.08333333333335</v>
      </c>
      <c r="J107" s="19">
        <v>130.72709163347</v>
      </c>
      <c r="K107" s="19">
        <v>136.95219123506001</v>
      </c>
      <c r="L107" s="19">
        <v>161.85258964143</v>
      </c>
      <c r="M107" s="19">
        <v>174.30278884462001</v>
      </c>
      <c r="N107">
        <f t="shared" si="57"/>
        <v>21.87500000000065</v>
      </c>
      <c r="O107">
        <f t="shared" si="54"/>
        <v>22.916666666666714</v>
      </c>
      <c r="P107">
        <f t="shared" si="55"/>
        <v>27.083333333332625</v>
      </c>
      <c r="Q107">
        <f t="shared" si="56"/>
        <v>29.166666666666419</v>
      </c>
      <c r="S107">
        <v>132.52756573367259</v>
      </c>
      <c r="T107">
        <v>106.0220525869381</v>
      </c>
      <c r="U107">
        <v>143.1297709923665</v>
      </c>
      <c r="V107">
        <v>116.624257845632</v>
      </c>
      <c r="W107">
        <v>26.041666666666671</v>
      </c>
      <c r="X107">
        <v>20.833333333333339</v>
      </c>
      <c r="Y107">
        <v>28.125000000000021</v>
      </c>
      <c r="Z107">
        <v>22.916666666666689</v>
      </c>
      <c r="AB107">
        <v>188.58642177763201</v>
      </c>
      <c r="AC107">
        <v>180.3870121351265</v>
      </c>
      <c r="AD107">
        <v>213.1846507051491</v>
      </c>
      <c r="AE107">
        <v>204.98524106264361</v>
      </c>
      <c r="AF107">
        <v>23.958333333333339</v>
      </c>
      <c r="AG107">
        <v>22.9166666666667</v>
      </c>
      <c r="AH107">
        <v>27.083333333333321</v>
      </c>
      <c r="AI107">
        <v>26.041666666666679</v>
      </c>
      <c r="AJ107" s="19"/>
      <c r="AK107">
        <v>168.26923076923069</v>
      </c>
      <c r="AL107">
        <v>149.03846153846141</v>
      </c>
      <c r="AM107">
        <v>144.23076923076931</v>
      </c>
      <c r="AO107">
        <v>36.458333333333321</v>
      </c>
      <c r="AP107">
        <v>32.291666666666643</v>
      </c>
      <c r="AQ107">
        <v>31.250000000000011</v>
      </c>
    </row>
    <row r="108" spans="1:44" ht="17" x14ac:dyDescent="0.2">
      <c r="A108">
        <v>145.4615981380916</v>
      </c>
      <c r="B108">
        <v>138.5348553696108</v>
      </c>
      <c r="C108">
        <v>193.9487975174552</v>
      </c>
      <c r="D108">
        <v>187.0220547489748</v>
      </c>
      <c r="E108">
        <v>21.875000000000011</v>
      </c>
      <c r="F108">
        <v>20.8333333333333</v>
      </c>
      <c r="G108">
        <v>29.166666666666639</v>
      </c>
      <c r="H108">
        <v>28.125</v>
      </c>
      <c r="J108" s="19">
        <v>130.72709163347</v>
      </c>
      <c r="K108" s="19">
        <v>143.17729083665</v>
      </c>
      <c r="L108" s="19">
        <v>174.30278884462001</v>
      </c>
      <c r="M108" s="19">
        <v>136.95219123506001</v>
      </c>
      <c r="N108">
        <f t="shared" si="57"/>
        <v>21.87500000000065</v>
      </c>
      <c r="O108">
        <f t="shared" si="54"/>
        <v>23.958333333332774</v>
      </c>
      <c r="P108">
        <f t="shared" si="55"/>
        <v>29.166666666666419</v>
      </c>
      <c r="Q108">
        <f t="shared" si="56"/>
        <v>22.916666666666714</v>
      </c>
      <c r="S108">
        <v>116.6242578456317</v>
      </c>
      <c r="T108">
        <v>127.2264631043258</v>
      </c>
      <c r="U108">
        <v>137.82866836301949</v>
      </c>
      <c r="V108">
        <v>132.52756573367239</v>
      </c>
      <c r="W108">
        <v>22.916666666666639</v>
      </c>
      <c r="X108">
        <v>25.000000000000021</v>
      </c>
      <c r="Y108">
        <v>27.083333333333329</v>
      </c>
      <c r="Z108">
        <v>26.041666666666629</v>
      </c>
      <c r="AB108">
        <v>204.98524106264361</v>
      </c>
      <c r="AC108">
        <v>213.1846507051491</v>
      </c>
      <c r="AD108">
        <v>172.1876024926205</v>
      </c>
      <c r="AE108">
        <v>221.38406034765509</v>
      </c>
      <c r="AF108">
        <v>26.041666666666679</v>
      </c>
      <c r="AG108">
        <v>27.083333333333321</v>
      </c>
      <c r="AH108">
        <v>21.875</v>
      </c>
      <c r="AI108">
        <v>28.125000000000021</v>
      </c>
      <c r="AJ108" s="19"/>
      <c r="AK108">
        <v>153.84615384615381</v>
      </c>
      <c r="AL108">
        <v>153.84615384615401</v>
      </c>
      <c r="AM108">
        <v>153.84615384615381</v>
      </c>
      <c r="AO108">
        <v>33.333333333333329</v>
      </c>
      <c r="AP108">
        <v>33.333333333333378</v>
      </c>
      <c r="AQ108">
        <v>33.333333333333329</v>
      </c>
    </row>
    <row r="109" spans="1:44" ht="17" x14ac:dyDescent="0.2">
      <c r="A109">
        <v>145.4615981380916</v>
      </c>
      <c r="B109">
        <v>138.5348553696108</v>
      </c>
      <c r="C109">
        <v>193.9487975174552</v>
      </c>
      <c r="D109">
        <v>193.9487975174552</v>
      </c>
      <c r="E109">
        <v>21.875000000000011</v>
      </c>
      <c r="F109">
        <v>20.8333333333333</v>
      </c>
      <c r="G109">
        <v>29.166666666666639</v>
      </c>
      <c r="H109">
        <v>29.166666666666639</v>
      </c>
      <c r="J109" s="19">
        <v>149.40239043824999</v>
      </c>
      <c r="K109" s="19">
        <v>124.50199203187</v>
      </c>
      <c r="L109" s="19">
        <v>161.85258964143</v>
      </c>
      <c r="M109" s="19">
        <v>174.30278884462001</v>
      </c>
      <c r="N109">
        <f t="shared" si="57"/>
        <v>25.000000000000504</v>
      </c>
      <c r="O109">
        <f t="shared" si="54"/>
        <v>20.833333333332916</v>
      </c>
      <c r="P109">
        <f t="shared" si="55"/>
        <v>27.083333333332625</v>
      </c>
      <c r="Q109">
        <f t="shared" si="56"/>
        <v>29.166666666666419</v>
      </c>
      <c r="S109">
        <v>127.2264631043258</v>
      </c>
      <c r="T109">
        <v>121.9253604749788</v>
      </c>
      <c r="U109">
        <v>127.2264631043258</v>
      </c>
      <c r="V109">
        <v>132.52756573367239</v>
      </c>
      <c r="W109">
        <v>25.000000000000021</v>
      </c>
      <c r="X109">
        <v>23.958333333333329</v>
      </c>
      <c r="Y109">
        <v>25.000000000000021</v>
      </c>
      <c r="Z109">
        <v>26.041666666666629</v>
      </c>
      <c r="AB109">
        <v>204.98524106264361</v>
      </c>
      <c r="AC109">
        <v>188.58642177763161</v>
      </c>
      <c r="AD109">
        <v>172.1876024926205</v>
      </c>
      <c r="AE109">
        <v>237.78287963266669</v>
      </c>
      <c r="AF109">
        <v>26.041666666666679</v>
      </c>
      <c r="AG109">
        <v>23.958333333333279</v>
      </c>
      <c r="AH109">
        <v>21.875</v>
      </c>
      <c r="AI109">
        <v>30.208333333333361</v>
      </c>
      <c r="AJ109" s="19"/>
      <c r="AK109">
        <v>187.5</v>
      </c>
      <c r="AL109">
        <v>134.61538461538481</v>
      </c>
      <c r="AM109">
        <v>139.4230769230771</v>
      </c>
      <c r="AO109">
        <v>40.625</v>
      </c>
      <c r="AP109">
        <v>29.1666666666667</v>
      </c>
      <c r="AQ109">
        <v>30.208333333333371</v>
      </c>
    </row>
    <row r="110" spans="1:44" ht="17" x14ac:dyDescent="0.2">
      <c r="A110">
        <v>145.4615981380916</v>
      </c>
      <c r="B110">
        <v>138.53485536961131</v>
      </c>
      <c r="C110">
        <v>180.09531198049439</v>
      </c>
      <c r="D110">
        <v>187.0220547489744</v>
      </c>
      <c r="E110">
        <v>21.875000000000011</v>
      </c>
      <c r="F110">
        <v>20.833333333333371</v>
      </c>
      <c r="G110">
        <v>27.08333333333335</v>
      </c>
      <c r="H110">
        <v>28.124999999999929</v>
      </c>
      <c r="J110" s="19">
        <v>118.27689243028</v>
      </c>
      <c r="K110" s="19">
        <v>149.40239043824999</v>
      </c>
      <c r="L110" s="19">
        <v>149.40239043824999</v>
      </c>
      <c r="M110" s="19">
        <v>174.30278884462001</v>
      </c>
      <c r="N110">
        <f t="shared" si="57"/>
        <v>19.79166666666686</v>
      </c>
      <c r="O110">
        <f t="shared" si="54"/>
        <v>25.000000000000504</v>
      </c>
      <c r="P110">
        <f t="shared" si="55"/>
        <v>25.000000000000504</v>
      </c>
      <c r="Q110">
        <f t="shared" si="56"/>
        <v>29.166666666666419</v>
      </c>
      <c r="S110">
        <v>121.9253604749788</v>
      </c>
      <c r="T110">
        <v>121.9253604749788</v>
      </c>
      <c r="U110">
        <v>121.9253604749788</v>
      </c>
      <c r="V110">
        <v>148.43087362171309</v>
      </c>
      <c r="W110">
        <v>23.958333333333329</v>
      </c>
      <c r="X110">
        <v>23.958333333333329</v>
      </c>
      <c r="Y110">
        <v>23.958333333333329</v>
      </c>
      <c r="Z110">
        <v>29.166666666666622</v>
      </c>
      <c r="AB110">
        <v>180.3870121351265</v>
      </c>
      <c r="AC110">
        <v>188.58642177763249</v>
      </c>
      <c r="AD110">
        <v>196.78583142013761</v>
      </c>
      <c r="AE110">
        <v>188.58642177763161</v>
      </c>
      <c r="AF110">
        <v>22.9166666666667</v>
      </c>
      <c r="AG110">
        <v>23.9583333333334</v>
      </c>
      <c r="AH110">
        <v>24.999999999999979</v>
      </c>
      <c r="AI110">
        <v>23.958333333333279</v>
      </c>
      <c r="AJ110" s="19"/>
      <c r="AK110">
        <v>182.69230769230759</v>
      </c>
      <c r="AL110">
        <v>139.4230769230771</v>
      </c>
      <c r="AM110">
        <v>139.4230769230771</v>
      </c>
      <c r="AO110">
        <v>39.583333333333307</v>
      </c>
      <c r="AP110">
        <v>30.208333333333371</v>
      </c>
      <c r="AQ110">
        <v>30.208333333333371</v>
      </c>
    </row>
    <row r="111" spans="1:44" ht="17" customHeight="1" x14ac:dyDescent="0.2">
      <c r="A111">
        <v>131.60811260113039</v>
      </c>
      <c r="B111">
        <v>159.31508367505279</v>
      </c>
      <c r="C111">
        <v>193.9487975174552</v>
      </c>
      <c r="D111">
        <v>180.09531198049439</v>
      </c>
      <c r="E111">
        <v>19.791666666666661</v>
      </c>
      <c r="F111">
        <v>23.958333333333361</v>
      </c>
      <c r="G111">
        <v>29.166666666666639</v>
      </c>
      <c r="H111">
        <v>27.08333333333335</v>
      </c>
      <c r="J111" s="19">
        <v>124.50199203187</v>
      </c>
      <c r="K111" s="19">
        <v>149.40239043824999</v>
      </c>
      <c r="L111" s="19">
        <v>161.85258964143</v>
      </c>
      <c r="M111" s="19">
        <v>168.07768924302999</v>
      </c>
      <c r="N111">
        <f t="shared" si="57"/>
        <v>20.833333333332916</v>
      </c>
      <c r="O111">
        <f t="shared" si="54"/>
        <v>25.000000000000504</v>
      </c>
      <c r="P111">
        <f t="shared" si="55"/>
        <v>27.083333333332625</v>
      </c>
      <c r="Q111">
        <f t="shared" si="56"/>
        <v>28.125000000000359</v>
      </c>
      <c r="S111">
        <v>121.9253604749788</v>
      </c>
      <c r="T111">
        <v>121.9253604749788</v>
      </c>
      <c r="U111">
        <v>159.0330788804072</v>
      </c>
      <c r="V111">
        <v>100.7209499575911</v>
      </c>
      <c r="W111">
        <v>23.958333333333329</v>
      </c>
      <c r="X111">
        <v>23.958333333333329</v>
      </c>
      <c r="Y111">
        <v>31.250000000000011</v>
      </c>
      <c r="Z111">
        <v>19.79166666666665</v>
      </c>
      <c r="AB111">
        <v>204.98524106264361</v>
      </c>
      <c r="AC111">
        <v>196.78583142013761</v>
      </c>
      <c r="AD111">
        <v>172.1876024926205</v>
      </c>
      <c r="AE111">
        <v>221.3840603476547</v>
      </c>
      <c r="AF111">
        <v>26.041666666666679</v>
      </c>
      <c r="AG111">
        <v>24.999999999999979</v>
      </c>
      <c r="AH111">
        <v>21.875</v>
      </c>
      <c r="AI111">
        <v>28.124999999999961</v>
      </c>
      <c r="AJ111" s="19"/>
      <c r="AK111">
        <v>173.0769230769229</v>
      </c>
      <c r="AL111">
        <v>144.23076923076911</v>
      </c>
      <c r="AM111">
        <v>144.23076923076911</v>
      </c>
      <c r="AO111">
        <v>37.499999999999957</v>
      </c>
      <c r="AP111">
        <v>31.249999999999961</v>
      </c>
      <c r="AQ111">
        <v>31.249999999999961</v>
      </c>
    </row>
    <row r="112" spans="1:44" ht="15" customHeight="1" x14ac:dyDescent="0.2">
      <c r="A112">
        <v>145.4615981380912</v>
      </c>
      <c r="B112">
        <v>138.53485536961131</v>
      </c>
      <c r="C112">
        <v>193.9487975174552</v>
      </c>
      <c r="D112">
        <v>159.31508367505279</v>
      </c>
      <c r="E112">
        <v>21.87499999999994</v>
      </c>
      <c r="F112">
        <v>20.833333333333371</v>
      </c>
      <c r="G112">
        <v>29.166666666666639</v>
      </c>
      <c r="H112">
        <v>23.958333333333361</v>
      </c>
      <c r="J112" s="19">
        <v>149.40239043824999</v>
      </c>
      <c r="K112" s="19">
        <v>130.72709163347</v>
      </c>
      <c r="L112" s="19">
        <v>174.30278884462001</v>
      </c>
      <c r="M112" s="19">
        <v>136.95219123506001</v>
      </c>
      <c r="N112">
        <f t="shared" si="57"/>
        <v>25.000000000000504</v>
      </c>
      <c r="O112">
        <f t="shared" si="54"/>
        <v>21.87500000000065</v>
      </c>
      <c r="P112">
        <f t="shared" si="55"/>
        <v>29.166666666666419</v>
      </c>
      <c r="Q112">
        <f t="shared" si="56"/>
        <v>22.916666666666714</v>
      </c>
      <c r="S112">
        <v>132.5275657336729</v>
      </c>
      <c r="T112">
        <v>90.11874469889699</v>
      </c>
      <c r="U112">
        <v>153.73197625106059</v>
      </c>
      <c r="V112">
        <v>153.73197625106059</v>
      </c>
      <c r="W112">
        <v>26.041666666666721</v>
      </c>
      <c r="X112">
        <v>17.708333333333261</v>
      </c>
      <c r="Y112">
        <v>30.2083333333334</v>
      </c>
      <c r="Z112">
        <v>30.2083333333334</v>
      </c>
      <c r="AB112">
        <v>180.3870121351265</v>
      </c>
      <c r="AC112">
        <v>204.98524106264361</v>
      </c>
      <c r="AD112">
        <v>196.78583142013761</v>
      </c>
      <c r="AE112">
        <v>213.18465070514961</v>
      </c>
      <c r="AF112">
        <v>22.9166666666667</v>
      </c>
      <c r="AG112">
        <v>26.041666666666679</v>
      </c>
      <c r="AH112">
        <v>24.999999999999979</v>
      </c>
      <c r="AI112">
        <v>27.083333333333378</v>
      </c>
      <c r="AJ112" s="19"/>
      <c r="AK112">
        <v>139.4230769230771</v>
      </c>
      <c r="AL112">
        <v>168.26923076923089</v>
      </c>
      <c r="AM112">
        <v>153.84615384615381</v>
      </c>
      <c r="AO112">
        <v>30.208333333333371</v>
      </c>
      <c r="AP112">
        <v>36.458333333333371</v>
      </c>
      <c r="AQ112">
        <v>33.333333333333329</v>
      </c>
    </row>
    <row r="113" spans="1:44" ht="17" x14ac:dyDescent="0.2">
      <c r="A113">
        <v>159.31508367505279</v>
      </c>
      <c r="B113">
        <v>152.38834090657201</v>
      </c>
      <c r="C113">
        <v>193.9487975174552</v>
      </c>
      <c r="D113">
        <v>173.16856921201361</v>
      </c>
      <c r="E113">
        <v>23.958333333333361</v>
      </c>
      <c r="F113">
        <v>22.91666666666665</v>
      </c>
      <c r="G113">
        <v>29.166666666666639</v>
      </c>
      <c r="H113">
        <v>26.04166666666665</v>
      </c>
      <c r="J113" s="19">
        <v>143.17729083665</v>
      </c>
      <c r="K113" s="19">
        <v>130.72709163347</v>
      </c>
      <c r="L113" s="19">
        <v>161.85258964143</v>
      </c>
      <c r="M113" s="19">
        <v>168.07768924302999</v>
      </c>
      <c r="N113">
        <f t="shared" si="57"/>
        <v>23.958333333332774</v>
      </c>
      <c r="O113">
        <f t="shared" si="54"/>
        <v>21.87500000000065</v>
      </c>
      <c r="P113">
        <f t="shared" si="55"/>
        <v>27.083333333332625</v>
      </c>
      <c r="Q113">
        <f t="shared" si="56"/>
        <v>28.125000000000359</v>
      </c>
      <c r="S113">
        <v>106.0220525869381</v>
      </c>
      <c r="T113">
        <v>121.9253604749792</v>
      </c>
      <c r="U113">
        <v>153.73197625106059</v>
      </c>
      <c r="V113">
        <v>121.9253604749792</v>
      </c>
      <c r="W113">
        <v>20.833333333333339</v>
      </c>
      <c r="X113">
        <v>23.958333333333421</v>
      </c>
      <c r="Y113">
        <v>30.2083333333334</v>
      </c>
      <c r="Z113">
        <v>23.958333333333421</v>
      </c>
      <c r="AB113">
        <v>213.18465070514961</v>
      </c>
      <c r="AC113">
        <v>163.9881928501145</v>
      </c>
      <c r="AD113">
        <v>180.3870121351265</v>
      </c>
      <c r="AE113">
        <v>245.98228927517269</v>
      </c>
      <c r="AF113">
        <v>27.083333333333378</v>
      </c>
      <c r="AG113">
        <v>20.8333333333333</v>
      </c>
      <c r="AH113">
        <v>22.9166666666667</v>
      </c>
      <c r="AI113">
        <v>31.25000000000006</v>
      </c>
      <c r="AJ113" s="19"/>
      <c r="AK113">
        <v>187.5</v>
      </c>
      <c r="AL113">
        <v>134.61538461538481</v>
      </c>
      <c r="AM113">
        <v>139.4230769230771</v>
      </c>
      <c r="AO113">
        <v>40.625</v>
      </c>
      <c r="AP113">
        <v>29.1666666666667</v>
      </c>
      <c r="AQ113">
        <v>30.208333333333371</v>
      </c>
    </row>
    <row r="114" spans="1:44" ht="17" x14ac:dyDescent="0.2">
      <c r="A114">
        <v>152.38834090657201</v>
      </c>
      <c r="B114">
        <v>145.4615981380912</v>
      </c>
      <c r="C114">
        <v>193.9487975174552</v>
      </c>
      <c r="D114">
        <v>166.2418264435328</v>
      </c>
      <c r="E114">
        <v>22.91666666666665</v>
      </c>
      <c r="F114">
        <v>21.87499999999994</v>
      </c>
      <c r="G114">
        <v>29.166666666666639</v>
      </c>
      <c r="H114">
        <v>24.99999999999994</v>
      </c>
      <c r="J114" s="19">
        <v>143.17729083665</v>
      </c>
      <c r="K114" s="19">
        <v>136.95219123506001</v>
      </c>
      <c r="L114" s="19">
        <v>149.40239043824999</v>
      </c>
      <c r="M114" s="19">
        <v>161.85258964143</v>
      </c>
      <c r="N114">
        <f t="shared" si="57"/>
        <v>23.958333333332774</v>
      </c>
      <c r="O114">
        <f t="shared" si="54"/>
        <v>22.916666666666714</v>
      </c>
      <c r="P114">
        <f t="shared" si="55"/>
        <v>25.000000000000504</v>
      </c>
      <c r="Q114">
        <f t="shared" si="56"/>
        <v>27.083333333332625</v>
      </c>
      <c r="S114">
        <v>132.52756573367239</v>
      </c>
      <c r="T114">
        <v>121.9253604749792</v>
      </c>
      <c r="U114">
        <v>116.6242578456322</v>
      </c>
      <c r="V114">
        <v>132.52756573367239</v>
      </c>
      <c r="W114">
        <v>26.041666666666629</v>
      </c>
      <c r="X114">
        <v>23.958333333333421</v>
      </c>
      <c r="Y114">
        <v>22.916666666666728</v>
      </c>
      <c r="Z114">
        <v>26.041666666666629</v>
      </c>
      <c r="AB114">
        <v>180.3870121351265</v>
      </c>
      <c r="AC114">
        <v>196.78583142013849</v>
      </c>
      <c r="AD114">
        <v>196.78583142013849</v>
      </c>
      <c r="AE114">
        <v>196.78583142013849</v>
      </c>
      <c r="AF114">
        <v>22.9166666666667</v>
      </c>
      <c r="AG114">
        <v>25.000000000000089</v>
      </c>
      <c r="AH114">
        <v>25.000000000000089</v>
      </c>
      <c r="AI114">
        <v>25.000000000000089</v>
      </c>
      <c r="AJ114" s="19"/>
      <c r="AK114">
        <v>182.69230769230759</v>
      </c>
      <c r="AL114">
        <v>96.153846153845734</v>
      </c>
      <c r="AM114">
        <v>182.69230769230759</v>
      </c>
      <c r="AO114">
        <v>39.583333333333307</v>
      </c>
      <c r="AP114">
        <v>20.83333333333324</v>
      </c>
      <c r="AQ114">
        <v>39.583333333333307</v>
      </c>
    </row>
    <row r="115" spans="1:44" ht="17" x14ac:dyDescent="0.2">
      <c r="A115">
        <v>152.38834090657201</v>
      </c>
      <c r="B115">
        <v>145.4615981380912</v>
      </c>
      <c r="C115">
        <v>180.09531198049439</v>
      </c>
      <c r="D115">
        <v>187.0220547489744</v>
      </c>
      <c r="E115">
        <v>22.91666666666665</v>
      </c>
      <c r="F115">
        <v>21.87499999999994</v>
      </c>
      <c r="G115">
        <v>27.08333333333335</v>
      </c>
      <c r="H115">
        <v>28.124999999999929</v>
      </c>
      <c r="J115" s="19">
        <v>136.95219123506001</v>
      </c>
      <c r="K115" s="19">
        <v>136.95219123506001</v>
      </c>
      <c r="L115" s="19">
        <v>149.40239043824999</v>
      </c>
      <c r="M115" s="19">
        <v>180.52788844621</v>
      </c>
      <c r="N115">
        <f t="shared" si="57"/>
        <v>22.916666666666714</v>
      </c>
      <c r="O115">
        <f t="shared" si="54"/>
        <v>22.916666666666714</v>
      </c>
      <c r="P115">
        <f t="shared" si="55"/>
        <v>25.000000000000504</v>
      </c>
      <c r="Q115">
        <f t="shared" si="56"/>
        <v>30.208333333332476</v>
      </c>
      <c r="S115">
        <v>121.9253604749792</v>
      </c>
      <c r="T115">
        <v>116.6242578456322</v>
      </c>
      <c r="U115">
        <v>121.9253604749792</v>
      </c>
      <c r="V115">
        <v>143.1297709923665</v>
      </c>
      <c r="W115">
        <v>23.958333333333421</v>
      </c>
      <c r="X115">
        <v>22.916666666666728</v>
      </c>
      <c r="Y115">
        <v>23.958333333333421</v>
      </c>
      <c r="Z115">
        <v>28.125000000000021</v>
      </c>
      <c r="AB115">
        <v>163.9881928501145</v>
      </c>
      <c r="AC115">
        <v>204.9852410626427</v>
      </c>
      <c r="AD115">
        <v>172.1876024926205</v>
      </c>
      <c r="AE115">
        <v>221.3840603476547</v>
      </c>
      <c r="AF115">
        <v>20.8333333333333</v>
      </c>
      <c r="AG115">
        <v>26.041666666666561</v>
      </c>
      <c r="AH115">
        <v>21.875</v>
      </c>
      <c r="AI115">
        <v>28.124999999999961</v>
      </c>
      <c r="AJ115" s="19"/>
      <c r="AK115">
        <v>168.26923076923049</v>
      </c>
      <c r="AL115">
        <v>149.03846153846189</v>
      </c>
      <c r="AM115">
        <v>144.23076923076951</v>
      </c>
      <c r="AO115">
        <v>36.458333333333272</v>
      </c>
      <c r="AP115">
        <v>32.291666666666742</v>
      </c>
      <c r="AQ115">
        <v>31.25000000000006</v>
      </c>
    </row>
    <row r="116" spans="1:44" ht="17" x14ac:dyDescent="0.2">
      <c r="A116">
        <v>152.38834090657201</v>
      </c>
      <c r="B116">
        <v>152.38834090657201</v>
      </c>
      <c r="C116">
        <v>193.94879751745609</v>
      </c>
      <c r="D116">
        <v>159.31508367505191</v>
      </c>
      <c r="E116">
        <v>22.91666666666665</v>
      </c>
      <c r="F116">
        <v>22.91666666666665</v>
      </c>
      <c r="G116">
        <v>29.166666666666771</v>
      </c>
      <c r="H116">
        <v>23.958333333333229</v>
      </c>
      <c r="J116" s="19">
        <v>149.40239043824999</v>
      </c>
      <c r="K116" s="19">
        <v>124.50199203187</v>
      </c>
      <c r="L116" s="19">
        <v>168.07768924302999</v>
      </c>
      <c r="M116" s="19">
        <v>143.17729083665</v>
      </c>
      <c r="N116">
        <f t="shared" si="57"/>
        <v>25.000000000000504</v>
      </c>
      <c r="O116">
        <f t="shared" si="54"/>
        <v>20.833333333332916</v>
      </c>
      <c r="P116">
        <f t="shared" si="55"/>
        <v>28.125000000000359</v>
      </c>
      <c r="Q116">
        <f t="shared" si="56"/>
        <v>23.958333333332774</v>
      </c>
      <c r="S116">
        <v>111.3231552162852</v>
      </c>
      <c r="T116">
        <v>116.6242578456322</v>
      </c>
      <c r="U116">
        <v>143.1297709923665</v>
      </c>
      <c r="V116">
        <v>132.52756573367239</v>
      </c>
      <c r="W116">
        <v>21.875000000000028</v>
      </c>
      <c r="X116">
        <v>22.916666666666728</v>
      </c>
      <c r="Y116">
        <v>28.125000000000021</v>
      </c>
      <c r="Z116">
        <v>26.041666666666629</v>
      </c>
      <c r="AB116">
        <v>180.3870121351265</v>
      </c>
      <c r="AC116">
        <v>180.3870121351265</v>
      </c>
      <c r="AD116">
        <v>196.78583142013849</v>
      </c>
      <c r="AE116">
        <v>221.3840603476547</v>
      </c>
      <c r="AF116">
        <v>22.9166666666667</v>
      </c>
      <c r="AG116">
        <v>22.9166666666667</v>
      </c>
      <c r="AH116">
        <v>25.000000000000089</v>
      </c>
      <c r="AI116">
        <v>28.124999999999961</v>
      </c>
      <c r="AJ116" s="19"/>
      <c r="AK116">
        <v>153.84615384615429</v>
      </c>
      <c r="AL116">
        <v>153.84615384615429</v>
      </c>
      <c r="AM116">
        <v>153.84615384615429</v>
      </c>
      <c r="AO116">
        <v>33.333333333333428</v>
      </c>
      <c r="AP116">
        <v>33.333333333333428</v>
      </c>
      <c r="AQ116">
        <v>33.333333333333428</v>
      </c>
    </row>
    <row r="117" spans="1:44" ht="17" x14ac:dyDescent="0.2">
      <c r="A117">
        <v>193.94879751745609</v>
      </c>
      <c r="B117">
        <v>124.68136983264959</v>
      </c>
      <c r="C117">
        <v>193.94879751745609</v>
      </c>
      <c r="D117">
        <v>166.2418264435328</v>
      </c>
      <c r="E117">
        <v>29.166666666666771</v>
      </c>
      <c r="F117">
        <v>18.74999999999995</v>
      </c>
      <c r="G117">
        <v>29.166666666666771</v>
      </c>
      <c r="H117">
        <v>24.99999999999994</v>
      </c>
      <c r="J117" s="19">
        <v>136.95219123506001</v>
      </c>
      <c r="K117" s="19">
        <v>136.95219123506001</v>
      </c>
      <c r="L117" s="19">
        <v>161.85258964143</v>
      </c>
      <c r="M117" s="19">
        <v>161.85258964143</v>
      </c>
      <c r="N117">
        <f t="shared" si="57"/>
        <v>22.916666666666714</v>
      </c>
      <c r="O117">
        <f t="shared" si="54"/>
        <v>22.916666666666714</v>
      </c>
      <c r="P117">
        <f t="shared" si="55"/>
        <v>27.083333333332625</v>
      </c>
      <c r="Q117">
        <f t="shared" si="56"/>
        <v>27.083333333332625</v>
      </c>
      <c r="S117">
        <v>127.2264631043254</v>
      </c>
      <c r="T117">
        <v>127.2264631043254</v>
      </c>
      <c r="U117">
        <v>121.9253604749792</v>
      </c>
      <c r="V117">
        <v>121.9253604749792</v>
      </c>
      <c r="W117">
        <v>24.99999999999994</v>
      </c>
      <c r="X117">
        <v>24.99999999999994</v>
      </c>
      <c r="Y117">
        <v>23.958333333333421</v>
      </c>
      <c r="Z117">
        <v>23.958333333333421</v>
      </c>
      <c r="AB117">
        <v>180.3870121351265</v>
      </c>
      <c r="AC117">
        <v>196.78583142013849</v>
      </c>
      <c r="AD117">
        <v>163.9881928501145</v>
      </c>
      <c r="AE117">
        <v>221.3840603476547</v>
      </c>
      <c r="AF117">
        <v>22.9166666666667</v>
      </c>
      <c r="AG117">
        <v>25.000000000000089</v>
      </c>
      <c r="AH117">
        <v>20.8333333333333</v>
      </c>
      <c r="AI117">
        <v>28.124999999999961</v>
      </c>
      <c r="AJ117" s="19"/>
      <c r="AK117">
        <v>187.5</v>
      </c>
      <c r="AL117">
        <v>158.65384615384571</v>
      </c>
      <c r="AM117">
        <v>115.3846153846152</v>
      </c>
      <c r="AO117">
        <v>40.625</v>
      </c>
      <c r="AP117">
        <v>34.374999999999908</v>
      </c>
      <c r="AQ117">
        <v>24.999999999999972</v>
      </c>
    </row>
    <row r="118" spans="1:44" ht="17" x14ac:dyDescent="0.2">
      <c r="A118">
        <v>152.38834090657289</v>
      </c>
      <c r="B118">
        <v>152.38834090657289</v>
      </c>
      <c r="C118">
        <v>193.94879751745609</v>
      </c>
      <c r="D118">
        <v>159.31508367505191</v>
      </c>
      <c r="E118">
        <v>22.916666666666789</v>
      </c>
      <c r="F118">
        <v>22.916666666666789</v>
      </c>
      <c r="G118">
        <v>29.166666666666771</v>
      </c>
      <c r="H118">
        <v>23.958333333333229</v>
      </c>
      <c r="J118" s="19">
        <v>124.50199203187</v>
      </c>
      <c r="K118" s="19">
        <v>143.17729083665</v>
      </c>
      <c r="L118" s="19">
        <v>161.85258964143</v>
      </c>
      <c r="M118" s="19">
        <v>161.85258964143</v>
      </c>
      <c r="N118">
        <f t="shared" si="57"/>
        <v>20.833333333332916</v>
      </c>
      <c r="O118">
        <f t="shared" si="54"/>
        <v>23.958333333332774</v>
      </c>
      <c r="P118">
        <f t="shared" si="55"/>
        <v>27.083333333332625</v>
      </c>
      <c r="Q118">
        <f t="shared" si="56"/>
        <v>27.083333333332625</v>
      </c>
      <c r="S118">
        <v>137.82866836301949</v>
      </c>
      <c r="T118">
        <v>132.52756573367239</v>
      </c>
      <c r="U118">
        <v>132.52756573367239</v>
      </c>
      <c r="V118">
        <v>137.82866836301949</v>
      </c>
      <c r="W118">
        <v>27.083333333333329</v>
      </c>
      <c r="X118">
        <v>26.041666666666629</v>
      </c>
      <c r="Y118">
        <v>26.041666666666629</v>
      </c>
      <c r="Z118">
        <v>27.083333333333329</v>
      </c>
      <c r="AB118">
        <v>180.3870121351265</v>
      </c>
      <c r="AC118">
        <v>213.1846507051487</v>
      </c>
      <c r="AD118">
        <v>155.7887832076085</v>
      </c>
      <c r="AE118">
        <v>221.3840603476547</v>
      </c>
      <c r="AF118">
        <v>22.9166666666667</v>
      </c>
      <c r="AG118">
        <v>27.083333333333261</v>
      </c>
      <c r="AH118">
        <v>19.7916666666666</v>
      </c>
      <c r="AI118">
        <v>28.124999999999961</v>
      </c>
      <c r="AK118">
        <v>182.69230769230759</v>
      </c>
      <c r="AL118">
        <v>139.4230769230771</v>
      </c>
      <c r="AM118">
        <v>139.4230769230771</v>
      </c>
      <c r="AO118">
        <v>39.583333333333307</v>
      </c>
      <c r="AP118">
        <v>30.208333333333371</v>
      </c>
      <c r="AQ118">
        <v>30.208333333333371</v>
      </c>
    </row>
    <row r="119" spans="1:44" ht="17" x14ac:dyDescent="0.2">
      <c r="A119">
        <v>166.2418264435328</v>
      </c>
      <c r="B119">
        <v>145.46159813809211</v>
      </c>
      <c r="C119">
        <v>173.16856921201361</v>
      </c>
      <c r="D119">
        <v>200.87554028593689</v>
      </c>
      <c r="E119">
        <v>24.99999999999994</v>
      </c>
      <c r="F119">
        <v>21.875000000000082</v>
      </c>
      <c r="G119">
        <v>26.04166666666665</v>
      </c>
      <c r="H119">
        <v>30.208333333333481</v>
      </c>
      <c r="J119" s="19">
        <v>143.17729083665</v>
      </c>
      <c r="K119" s="19">
        <v>130.72709163347</v>
      </c>
      <c r="L119" s="19">
        <v>155.62749003984001</v>
      </c>
      <c r="M119" s="19">
        <v>168.07768924302999</v>
      </c>
      <c r="N119">
        <f t="shared" si="57"/>
        <v>23.958333333332774</v>
      </c>
      <c r="O119">
        <f t="shared" si="54"/>
        <v>21.87500000000065</v>
      </c>
      <c r="P119">
        <f t="shared" si="55"/>
        <v>26.041666666666568</v>
      </c>
      <c r="Q119">
        <f t="shared" si="56"/>
        <v>28.125000000000359</v>
      </c>
      <c r="S119">
        <v>127.2264631043254</v>
      </c>
      <c r="T119">
        <v>121.9253604749792</v>
      </c>
      <c r="U119">
        <v>121.9253604749792</v>
      </c>
      <c r="V119">
        <v>121.9253604749747</v>
      </c>
      <c r="W119">
        <v>24.99999999999994</v>
      </c>
      <c r="X119">
        <v>23.958333333333421</v>
      </c>
      <c r="Y119">
        <v>23.958333333333421</v>
      </c>
      <c r="Z119">
        <v>23.958333333332529</v>
      </c>
      <c r="AB119">
        <v>188.58642177763249</v>
      </c>
      <c r="AC119">
        <v>196.78583142013849</v>
      </c>
      <c r="AD119">
        <v>172.1876024926205</v>
      </c>
      <c r="AE119">
        <v>254.18169891767499</v>
      </c>
      <c r="AF119">
        <v>23.9583333333334</v>
      </c>
      <c r="AG119">
        <v>25.000000000000089</v>
      </c>
      <c r="AH119">
        <v>21.875</v>
      </c>
      <c r="AI119">
        <v>32.291666666666288</v>
      </c>
      <c r="AK119">
        <v>158.65384615384571</v>
      </c>
      <c r="AL119">
        <v>158.65384615384571</v>
      </c>
      <c r="AM119">
        <v>144.2307692307686</v>
      </c>
      <c r="AO119">
        <v>34.374999999999908</v>
      </c>
      <c r="AP119">
        <v>34.374999999999908</v>
      </c>
      <c r="AQ119">
        <v>31.249999999999861</v>
      </c>
    </row>
    <row r="120" spans="1:44" ht="31" x14ac:dyDescent="0.35">
      <c r="A120" s="3"/>
      <c r="E120" s="6"/>
      <c r="F120" s="6"/>
      <c r="G120" s="6"/>
      <c r="H120" s="6"/>
    </row>
    <row r="121" spans="1:44" ht="31" x14ac:dyDescent="0.35">
      <c r="A121" s="12" t="s">
        <v>51</v>
      </c>
      <c r="B121" s="13"/>
      <c r="C121" s="13"/>
      <c r="D121" s="13"/>
      <c r="E121" s="13"/>
      <c r="F121" s="13"/>
      <c r="G121" s="13"/>
      <c r="H121" s="13"/>
      <c r="J121" s="9" t="s">
        <v>17</v>
      </c>
      <c r="K121" s="10"/>
      <c r="L121" s="10"/>
      <c r="M121" s="10"/>
      <c r="N121" s="10"/>
      <c r="O121" s="10"/>
      <c r="P121" s="10"/>
      <c r="Q121" s="10"/>
      <c r="S121" s="1" t="s">
        <v>96</v>
      </c>
      <c r="T121" s="2"/>
      <c r="U121" s="2"/>
      <c r="V121" s="2"/>
      <c r="W121" s="2"/>
      <c r="X121" s="2"/>
      <c r="Y121" s="2"/>
      <c r="Z121" s="2"/>
      <c r="AB121" s="14" t="s">
        <v>120</v>
      </c>
      <c r="AC121" s="15"/>
      <c r="AD121" s="15"/>
      <c r="AE121" s="15"/>
      <c r="AF121" s="15"/>
      <c r="AG121" s="15"/>
      <c r="AH121" s="15"/>
      <c r="AI121" s="15"/>
      <c r="AK121" s="16" t="s">
        <v>145</v>
      </c>
      <c r="AL121" s="17"/>
      <c r="AM121" s="17"/>
      <c r="AN121" s="17"/>
      <c r="AO121" s="17"/>
      <c r="AP121" s="17"/>
      <c r="AQ121" s="18"/>
      <c r="AR121" s="17"/>
    </row>
    <row r="122" spans="1:44" ht="31" x14ac:dyDescent="0.35">
      <c r="A122" s="3" t="s">
        <v>2</v>
      </c>
      <c r="F122" s="6" t="s">
        <v>62</v>
      </c>
      <c r="J122" s="3" t="s">
        <v>2</v>
      </c>
      <c r="N122" s="23" t="s">
        <v>18</v>
      </c>
      <c r="O122" s="6" t="s">
        <v>23</v>
      </c>
      <c r="P122" s="6"/>
      <c r="Q122" s="6"/>
      <c r="S122" s="3" t="s">
        <v>2</v>
      </c>
      <c r="W122" s="23" t="s">
        <v>18</v>
      </c>
      <c r="X122" s="24" t="s">
        <v>90</v>
      </c>
      <c r="AB122" s="3" t="s">
        <v>2</v>
      </c>
      <c r="AF122" s="23" t="s">
        <v>18</v>
      </c>
      <c r="AG122" s="24" t="s">
        <v>121</v>
      </c>
      <c r="AH122" s="19"/>
      <c r="AI122" s="19"/>
      <c r="AK122" s="3" t="s">
        <v>2</v>
      </c>
      <c r="AO122" s="6" t="s">
        <v>3</v>
      </c>
      <c r="AP122" s="6" t="s">
        <v>144</v>
      </c>
      <c r="AQ122" s="6"/>
      <c r="AR122" s="6"/>
    </row>
    <row r="123" spans="1:44" x14ac:dyDescent="0.2">
      <c r="A123" s="7">
        <v>1</v>
      </c>
      <c r="B123" s="6">
        <v>2</v>
      </c>
      <c r="C123" s="6">
        <v>3</v>
      </c>
      <c r="D123" s="6">
        <v>4</v>
      </c>
      <c r="E123" s="7">
        <v>1</v>
      </c>
      <c r="F123" s="6">
        <v>2</v>
      </c>
      <c r="G123" s="6">
        <v>3</v>
      </c>
      <c r="H123" s="6">
        <v>4</v>
      </c>
      <c r="J123" s="7">
        <v>1</v>
      </c>
      <c r="K123" s="6">
        <v>2</v>
      </c>
      <c r="L123" s="6">
        <v>3</v>
      </c>
      <c r="M123" s="6">
        <v>4</v>
      </c>
      <c r="N123" s="7">
        <v>1</v>
      </c>
      <c r="O123" s="6">
        <v>2</v>
      </c>
      <c r="P123" s="6">
        <v>3</v>
      </c>
      <c r="Q123" s="6">
        <v>4</v>
      </c>
      <c r="S123" s="7">
        <v>1</v>
      </c>
      <c r="T123" s="6">
        <v>2</v>
      </c>
      <c r="U123" s="6">
        <v>3</v>
      </c>
      <c r="V123" s="6">
        <v>4</v>
      </c>
      <c r="W123" s="7">
        <v>1</v>
      </c>
      <c r="X123" s="6">
        <v>2</v>
      </c>
      <c r="Y123" s="6">
        <v>3</v>
      </c>
      <c r="Z123" s="6">
        <v>4</v>
      </c>
      <c r="AB123" s="7">
        <v>1</v>
      </c>
      <c r="AC123" s="6">
        <v>2</v>
      </c>
      <c r="AD123" s="6">
        <v>3</v>
      </c>
      <c r="AE123" s="6">
        <v>4</v>
      </c>
      <c r="AF123" s="7">
        <v>1</v>
      </c>
      <c r="AG123" s="6">
        <v>2</v>
      </c>
      <c r="AH123" s="6">
        <v>3</v>
      </c>
      <c r="AI123" s="6">
        <v>4</v>
      </c>
      <c r="AK123" s="7">
        <v>1</v>
      </c>
      <c r="AL123" s="6">
        <v>2</v>
      </c>
      <c r="AM123" s="6">
        <v>3</v>
      </c>
      <c r="AN123" s="6">
        <v>4</v>
      </c>
      <c r="AO123" s="7">
        <v>1</v>
      </c>
      <c r="AP123" s="6">
        <v>2</v>
      </c>
      <c r="AQ123" s="6">
        <v>3</v>
      </c>
      <c r="AR123" s="6">
        <v>4</v>
      </c>
    </row>
    <row r="124" spans="1:44" ht="17" x14ac:dyDescent="0.2">
      <c r="A124">
        <v>174.526838349364</v>
      </c>
      <c r="B124">
        <v>135.74309649394979</v>
      </c>
      <c r="C124">
        <v>180.9907953252663</v>
      </c>
      <c r="D124">
        <v>122.815182542145</v>
      </c>
      <c r="E124">
        <v>28.125000000000011</v>
      </c>
      <c r="F124">
        <v>21.875000000000011</v>
      </c>
      <c r="G124">
        <v>29.166666666666671</v>
      </c>
      <c r="H124">
        <v>19.791666666666671</v>
      </c>
      <c r="J124" s="19">
        <v>165.01650165017</v>
      </c>
      <c r="K124" s="19">
        <v>171.89218921892001</v>
      </c>
      <c r="L124" s="19">
        <v>178.76787678768</v>
      </c>
      <c r="M124" s="19">
        <v>171.89218921892001</v>
      </c>
      <c r="N124">
        <f>(J124*100)/(60/90.9*1000)</f>
        <v>25.000000000000753</v>
      </c>
      <c r="O124">
        <f t="shared" ref="O124:O139" si="58">(K124*100)/(60/90.9*1000)</f>
        <v>26.041666666666377</v>
      </c>
      <c r="P124">
        <f t="shared" ref="P124:P139" si="59">(L124*100)/(60/90.9*1000)</f>
        <v>27.083333333333517</v>
      </c>
      <c r="Q124">
        <f t="shared" ref="Q124:Q139" si="60">(M124*100)/(60/90.9*1000)</f>
        <v>26.041666666666377</v>
      </c>
      <c r="S124">
        <v>123.8156761412575</v>
      </c>
      <c r="T124">
        <v>113.0490956072352</v>
      </c>
      <c r="U124">
        <v>134.58225667527989</v>
      </c>
      <c r="V124">
        <v>150.73212747631351</v>
      </c>
      <c r="W124">
        <v>23.958333333333329</v>
      </c>
      <c r="X124">
        <v>21.875</v>
      </c>
      <c r="Y124">
        <v>26.041666666666661</v>
      </c>
      <c r="Z124">
        <v>29.166666666666661</v>
      </c>
      <c r="AB124">
        <v>146.68367346938771</v>
      </c>
      <c r="AC124">
        <v>146.68367346938771</v>
      </c>
      <c r="AD124">
        <v>153.0612244897959</v>
      </c>
      <c r="AE124">
        <v>178.57142857142861</v>
      </c>
      <c r="AF124">
        <v>23.958333333333329</v>
      </c>
      <c r="AG124">
        <v>23.958333333333329</v>
      </c>
      <c r="AH124">
        <v>24.999999999999989</v>
      </c>
      <c r="AI124">
        <v>29.166666666666671</v>
      </c>
      <c r="AK124">
        <v>120.19230769230769</v>
      </c>
      <c r="AL124">
        <v>120.19230769230769</v>
      </c>
      <c r="AM124">
        <v>57.692307692307708</v>
      </c>
      <c r="AN124">
        <v>187.5</v>
      </c>
      <c r="AO124">
        <v>26.041666666666671</v>
      </c>
      <c r="AP124">
        <v>26.041666666666671</v>
      </c>
      <c r="AQ124">
        <v>12.5</v>
      </c>
      <c r="AR124">
        <v>40.625</v>
      </c>
    </row>
    <row r="125" spans="1:44" ht="17" x14ac:dyDescent="0.2">
      <c r="A125">
        <v>142.2070534698521</v>
      </c>
      <c r="B125">
        <v>148.67101044575449</v>
      </c>
      <c r="C125">
        <v>193.918709277071</v>
      </c>
      <c r="D125">
        <v>155.13496742165691</v>
      </c>
      <c r="E125">
        <v>22.916666666666671</v>
      </c>
      <c r="F125">
        <v>23.958333333333339</v>
      </c>
      <c r="G125">
        <v>31.249999999999989</v>
      </c>
      <c r="H125">
        <v>25.000000000000021</v>
      </c>
      <c r="J125" s="19">
        <v>151.26512651265</v>
      </c>
      <c r="K125" s="19">
        <v>137.51375137514</v>
      </c>
      <c r="L125" s="19">
        <v>192.51925192518999</v>
      </c>
      <c r="M125" s="19">
        <v>178.76787678768</v>
      </c>
      <c r="N125">
        <f t="shared" ref="N125:N139" si="61">(J125*100)/(60/90.9*1000)</f>
        <v>22.916666666666476</v>
      </c>
      <c r="O125">
        <f t="shared" si="58"/>
        <v>20.833333333333709</v>
      </c>
      <c r="P125">
        <f t="shared" si="59"/>
        <v>29.166666666666284</v>
      </c>
      <c r="Q125">
        <f t="shared" si="60"/>
        <v>27.083333333333517</v>
      </c>
      <c r="S125">
        <v>102.28251507321271</v>
      </c>
      <c r="T125">
        <v>129.19896640826869</v>
      </c>
      <c r="U125">
        <v>134.58225667528001</v>
      </c>
      <c r="V125">
        <v>145.34883720930219</v>
      </c>
      <c r="W125">
        <v>19.791666666666661</v>
      </c>
      <c r="X125">
        <v>24.999999999999989</v>
      </c>
      <c r="Y125">
        <v>26.041666666666671</v>
      </c>
      <c r="Z125">
        <v>28.124999999999979</v>
      </c>
      <c r="AB125">
        <v>133.92857142857139</v>
      </c>
      <c r="AC125">
        <v>159.4387755102041</v>
      </c>
      <c r="AD125">
        <v>146.6836734693878</v>
      </c>
      <c r="AE125">
        <v>172.19387755102051</v>
      </c>
      <c r="AF125">
        <v>21.875</v>
      </c>
      <c r="AG125">
        <v>26.041666666666671</v>
      </c>
      <c r="AH125">
        <v>23.958333333333339</v>
      </c>
      <c r="AI125">
        <v>28.125000000000011</v>
      </c>
      <c r="AK125">
        <v>158.65384615384619</v>
      </c>
      <c r="AL125">
        <v>139.42307692307691</v>
      </c>
      <c r="AM125">
        <v>139.42307692307691</v>
      </c>
      <c r="AO125">
        <v>34.375000000000007</v>
      </c>
      <c r="AP125">
        <v>30.208333333333329</v>
      </c>
      <c r="AQ125">
        <v>30.208333333333329</v>
      </c>
    </row>
    <row r="126" spans="1:44" ht="17" x14ac:dyDescent="0.2">
      <c r="A126">
        <v>129.27913951804729</v>
      </c>
      <c r="B126">
        <v>142.2070534698521</v>
      </c>
      <c r="C126">
        <v>187.45475230116861</v>
      </c>
      <c r="D126">
        <v>155.13496742165691</v>
      </c>
      <c r="E126">
        <v>20.833333333333321</v>
      </c>
      <c r="F126">
        <v>22.916666666666671</v>
      </c>
      <c r="G126">
        <v>30.208333333333321</v>
      </c>
      <c r="H126">
        <v>25.000000000000021</v>
      </c>
      <c r="J126" s="19">
        <v>151.26512651265</v>
      </c>
      <c r="K126" s="19">
        <v>144.38943894389001</v>
      </c>
      <c r="L126" s="19">
        <v>171.89218921892001</v>
      </c>
      <c r="M126" s="19">
        <v>192.51925192518999</v>
      </c>
      <c r="N126">
        <f t="shared" si="61"/>
        <v>22.916666666666476</v>
      </c>
      <c r="O126">
        <f t="shared" si="58"/>
        <v>21.874999999999336</v>
      </c>
      <c r="P126">
        <f t="shared" si="59"/>
        <v>26.041666666666377</v>
      </c>
      <c r="Q126">
        <f t="shared" si="60"/>
        <v>29.166666666666284</v>
      </c>
      <c r="S126">
        <v>123.8156761412577</v>
      </c>
      <c r="T126">
        <v>123.8156761412574</v>
      </c>
      <c r="U126">
        <v>123.8156761412574</v>
      </c>
      <c r="V126">
        <v>150.73212747631351</v>
      </c>
      <c r="W126">
        <v>23.95833333333335</v>
      </c>
      <c r="X126">
        <v>23.958333333333311</v>
      </c>
      <c r="Y126">
        <v>23.958333333333311</v>
      </c>
      <c r="Z126">
        <v>29.166666666666661</v>
      </c>
      <c r="AB126">
        <v>146.68367346938771</v>
      </c>
      <c r="AC126">
        <v>146.68367346938771</v>
      </c>
      <c r="AD126">
        <v>140.30612244897949</v>
      </c>
      <c r="AE126">
        <v>197.70408163265299</v>
      </c>
      <c r="AF126">
        <v>23.958333333333329</v>
      </c>
      <c r="AG126">
        <v>23.958333333333329</v>
      </c>
      <c r="AH126">
        <v>22.91666666666665</v>
      </c>
      <c r="AI126">
        <v>32.291666666666657</v>
      </c>
      <c r="AK126">
        <v>182.69230769230759</v>
      </c>
      <c r="AL126">
        <v>149.03846153846141</v>
      </c>
      <c r="AM126">
        <v>129.80769230769241</v>
      </c>
      <c r="AO126">
        <v>39.583333333333307</v>
      </c>
      <c r="AP126">
        <v>32.291666666666643</v>
      </c>
      <c r="AQ126">
        <v>28.125000000000021</v>
      </c>
    </row>
    <row r="127" spans="1:44" ht="17" x14ac:dyDescent="0.2">
      <c r="A127">
        <v>148.67101044575449</v>
      </c>
      <c r="B127">
        <v>135.74309649394991</v>
      </c>
      <c r="C127">
        <v>168.06288137346161</v>
      </c>
      <c r="D127">
        <v>161.5989243975591</v>
      </c>
      <c r="E127">
        <v>23.958333333333339</v>
      </c>
      <c r="F127">
        <v>21.875000000000028</v>
      </c>
      <c r="G127">
        <v>27.083333333333339</v>
      </c>
      <c r="H127">
        <v>26.041666666666661</v>
      </c>
      <c r="J127" s="19">
        <v>137.51375137514</v>
      </c>
      <c r="K127" s="19">
        <v>158.14081408141001</v>
      </c>
      <c r="L127" s="19">
        <v>178.76787678768</v>
      </c>
      <c r="M127" s="19">
        <v>178.76787678768</v>
      </c>
      <c r="N127">
        <f t="shared" si="61"/>
        <v>20.833333333333709</v>
      </c>
      <c r="O127">
        <f t="shared" si="58"/>
        <v>23.958333333333616</v>
      </c>
      <c r="P127">
        <f t="shared" si="59"/>
        <v>27.083333333333517</v>
      </c>
      <c r="Q127">
        <f t="shared" si="60"/>
        <v>27.083333333333517</v>
      </c>
      <c r="S127">
        <v>96.899224806201573</v>
      </c>
      <c r="T127">
        <v>139.96554694229121</v>
      </c>
      <c r="U127">
        <v>150.73212747631351</v>
      </c>
      <c r="V127">
        <v>129.19896640826889</v>
      </c>
      <c r="W127">
        <v>18.75</v>
      </c>
      <c r="X127">
        <v>27.08333333333335</v>
      </c>
      <c r="Y127">
        <v>29.166666666666661</v>
      </c>
      <c r="Z127">
        <v>25.000000000000028</v>
      </c>
      <c r="AB127">
        <v>108.41836734693879</v>
      </c>
      <c r="AC127">
        <v>159.4387755102039</v>
      </c>
      <c r="AD127">
        <v>133.92857142857159</v>
      </c>
      <c r="AE127">
        <v>172.19387755102031</v>
      </c>
      <c r="AF127">
        <v>17.708333333333339</v>
      </c>
      <c r="AG127">
        <v>26.041666666666629</v>
      </c>
      <c r="AH127">
        <v>21.875000000000021</v>
      </c>
      <c r="AI127">
        <v>28.124999999999979</v>
      </c>
      <c r="AK127">
        <v>120.19230769230759</v>
      </c>
      <c r="AL127">
        <v>115.3846153846155</v>
      </c>
      <c r="AM127">
        <v>91.346153846153811</v>
      </c>
      <c r="AN127">
        <v>134.6153846153845</v>
      </c>
      <c r="AO127">
        <v>26.04166666666665</v>
      </c>
      <c r="AP127">
        <v>25.000000000000021</v>
      </c>
      <c r="AQ127">
        <v>19.791666666666661</v>
      </c>
      <c r="AR127">
        <v>29.16666666666665</v>
      </c>
    </row>
    <row r="128" spans="1:44" ht="17" x14ac:dyDescent="0.2">
      <c r="A128">
        <v>155.13496742165671</v>
      </c>
      <c r="B128">
        <v>135.74309649394991</v>
      </c>
      <c r="C128">
        <v>180.99079532526639</v>
      </c>
      <c r="D128">
        <v>155.13496742165671</v>
      </c>
      <c r="E128">
        <v>24.999999999999979</v>
      </c>
      <c r="F128">
        <v>21.875000000000028</v>
      </c>
      <c r="G128">
        <v>29.166666666666679</v>
      </c>
      <c r="H128">
        <v>24.999999999999979</v>
      </c>
      <c r="J128" s="19">
        <v>144.38943894389001</v>
      </c>
      <c r="K128" s="19">
        <v>151.26512651265</v>
      </c>
      <c r="L128" s="19">
        <v>171.89218921892001</v>
      </c>
      <c r="M128" s="19">
        <v>178.76787678768</v>
      </c>
      <c r="N128">
        <f t="shared" si="61"/>
        <v>21.874999999999336</v>
      </c>
      <c r="O128">
        <f t="shared" si="58"/>
        <v>22.916666666666476</v>
      </c>
      <c r="P128">
        <f t="shared" si="59"/>
        <v>26.041666666666377</v>
      </c>
      <c r="Q128">
        <f t="shared" si="60"/>
        <v>27.083333333333517</v>
      </c>
      <c r="S128">
        <v>118.43238587424641</v>
      </c>
      <c r="T128">
        <v>118.43238587424641</v>
      </c>
      <c r="U128">
        <v>139.96554694229101</v>
      </c>
      <c r="V128">
        <v>139.96554694229101</v>
      </c>
      <c r="W128">
        <v>22.916666666666671</v>
      </c>
      <c r="X128">
        <v>22.916666666666671</v>
      </c>
      <c r="Y128">
        <v>27.0833333333333</v>
      </c>
      <c r="Z128">
        <v>27.0833333333333</v>
      </c>
      <c r="AB128">
        <v>140.30612244897969</v>
      </c>
      <c r="AC128">
        <v>153.06122448979571</v>
      </c>
      <c r="AD128">
        <v>165.81632653061209</v>
      </c>
      <c r="AE128">
        <v>178.57142857142841</v>
      </c>
      <c r="AF128">
        <v>22.916666666666689</v>
      </c>
      <c r="AG128">
        <v>24.999999999999961</v>
      </c>
      <c r="AH128">
        <v>27.0833333333333</v>
      </c>
      <c r="AI128">
        <v>29.166666666666639</v>
      </c>
      <c r="AK128">
        <v>120.19230769230759</v>
      </c>
      <c r="AL128">
        <v>120.19230769230781</v>
      </c>
      <c r="AM128">
        <v>57.692307692307622</v>
      </c>
      <c r="AN128">
        <v>187.5</v>
      </c>
      <c r="AO128">
        <v>26.04166666666665</v>
      </c>
      <c r="AP128">
        <v>26.0416666666667</v>
      </c>
      <c r="AQ128">
        <v>12.49999999999998</v>
      </c>
      <c r="AR128">
        <v>40.625</v>
      </c>
    </row>
    <row r="129" spans="1:44" ht="17" x14ac:dyDescent="0.2">
      <c r="A129">
        <v>135.74309649394991</v>
      </c>
      <c r="B129">
        <v>142.2070534698523</v>
      </c>
      <c r="C129">
        <v>174.526838349364</v>
      </c>
      <c r="D129">
        <v>174.526838349364</v>
      </c>
      <c r="E129">
        <v>21.875000000000028</v>
      </c>
      <c r="F129">
        <v>22.9166666666667</v>
      </c>
      <c r="G129">
        <v>28.125000000000011</v>
      </c>
      <c r="H129">
        <v>28.125000000000011</v>
      </c>
      <c r="J129" s="19">
        <v>151.26512651265</v>
      </c>
      <c r="K129" s="19">
        <v>158.14081408141001</v>
      </c>
      <c r="L129" s="19">
        <v>178.76787678768</v>
      </c>
      <c r="M129" s="19">
        <v>178.76787678768</v>
      </c>
      <c r="N129">
        <f t="shared" si="61"/>
        <v>22.916666666666476</v>
      </c>
      <c r="O129">
        <f t="shared" si="58"/>
        <v>23.958333333333616</v>
      </c>
      <c r="P129">
        <f t="shared" si="59"/>
        <v>27.083333333333517</v>
      </c>
      <c r="Q129">
        <f t="shared" si="60"/>
        <v>27.083333333333517</v>
      </c>
      <c r="S129">
        <v>102.28251507321281</v>
      </c>
      <c r="T129">
        <v>129.19896640826889</v>
      </c>
      <c r="U129">
        <v>139.96554694229101</v>
      </c>
      <c r="V129">
        <v>139.96554694229101</v>
      </c>
      <c r="W129">
        <v>19.791666666666679</v>
      </c>
      <c r="X129">
        <v>25.000000000000028</v>
      </c>
      <c r="Y129">
        <v>27.0833333333333</v>
      </c>
      <c r="Z129">
        <v>27.0833333333333</v>
      </c>
      <c r="AB129">
        <v>133.92857142857159</v>
      </c>
      <c r="AC129">
        <v>146.68367346938791</v>
      </c>
      <c r="AD129">
        <v>159.4387755102039</v>
      </c>
      <c r="AE129">
        <v>165.81632653061209</v>
      </c>
      <c r="AF129">
        <v>21.875000000000021</v>
      </c>
      <c r="AG129">
        <v>23.958333333333361</v>
      </c>
      <c r="AH129">
        <v>26.041666666666629</v>
      </c>
      <c r="AI129">
        <v>27.0833333333333</v>
      </c>
      <c r="AK129">
        <v>158.65384615384619</v>
      </c>
      <c r="AL129">
        <v>139.4230769230771</v>
      </c>
      <c r="AM129">
        <v>139.4230769230771</v>
      </c>
      <c r="AO129">
        <v>34.375000000000007</v>
      </c>
      <c r="AP129">
        <v>30.208333333333371</v>
      </c>
      <c r="AQ129">
        <v>30.208333333333371</v>
      </c>
    </row>
    <row r="130" spans="1:44" ht="17" x14ac:dyDescent="0.2">
      <c r="A130">
        <v>135.74309649394991</v>
      </c>
      <c r="B130">
        <v>129.27913951804749</v>
      </c>
      <c r="C130">
        <v>193.9187092770712</v>
      </c>
      <c r="D130">
        <v>148.67101044575429</v>
      </c>
      <c r="E130">
        <v>21.875000000000028</v>
      </c>
      <c r="F130">
        <v>20.83333333333335</v>
      </c>
      <c r="G130">
        <v>31.250000000000039</v>
      </c>
      <c r="H130">
        <v>23.958333333333311</v>
      </c>
      <c r="J130" s="19">
        <v>144.38943894389001</v>
      </c>
      <c r="K130" s="19">
        <v>158.14081408141001</v>
      </c>
      <c r="L130" s="19">
        <v>158.14081408141001</v>
      </c>
      <c r="M130" s="19">
        <v>185.64356435644001</v>
      </c>
      <c r="N130">
        <f t="shared" si="61"/>
        <v>21.874999999999336</v>
      </c>
      <c r="O130">
        <f t="shared" si="58"/>
        <v>23.958333333333616</v>
      </c>
      <c r="P130">
        <f t="shared" si="59"/>
        <v>23.958333333333616</v>
      </c>
      <c r="Q130">
        <f t="shared" si="60"/>
        <v>28.125000000000657</v>
      </c>
      <c r="S130">
        <v>123.8156761412574</v>
      </c>
      <c r="T130">
        <v>118.43238587424641</v>
      </c>
      <c r="U130">
        <v>134.58225667528001</v>
      </c>
      <c r="V130">
        <v>145.3488372093025</v>
      </c>
      <c r="W130">
        <v>23.958333333333311</v>
      </c>
      <c r="X130">
        <v>22.916666666666671</v>
      </c>
      <c r="Y130">
        <v>26.041666666666671</v>
      </c>
      <c r="Z130">
        <v>28.125000000000021</v>
      </c>
      <c r="AB130">
        <v>153.0612244897961</v>
      </c>
      <c r="AC130">
        <v>146.68367346938791</v>
      </c>
      <c r="AD130">
        <v>146.68367346938791</v>
      </c>
      <c r="AE130">
        <v>159.43877551020429</v>
      </c>
      <c r="AF130">
        <v>25.000000000000028</v>
      </c>
      <c r="AG130">
        <v>23.958333333333361</v>
      </c>
      <c r="AH130">
        <v>23.958333333333361</v>
      </c>
      <c r="AI130">
        <v>26.0416666666667</v>
      </c>
      <c r="AK130">
        <v>182.69230769230759</v>
      </c>
      <c r="AL130">
        <v>139.4230769230771</v>
      </c>
      <c r="AM130">
        <v>139.4230769230771</v>
      </c>
      <c r="AO130">
        <v>39.583333333333307</v>
      </c>
      <c r="AP130">
        <v>30.208333333333371</v>
      </c>
      <c r="AQ130">
        <v>30.208333333333371</v>
      </c>
    </row>
    <row r="131" spans="1:44" ht="17" x14ac:dyDescent="0.2">
      <c r="A131">
        <v>135.74309649394951</v>
      </c>
      <c r="B131">
        <v>142.2070534698523</v>
      </c>
      <c r="C131">
        <v>174.526838349364</v>
      </c>
      <c r="D131">
        <v>161.5989243975591</v>
      </c>
      <c r="E131">
        <v>21.874999999999961</v>
      </c>
      <c r="F131">
        <v>22.9166666666667</v>
      </c>
      <c r="G131">
        <v>28.125000000000011</v>
      </c>
      <c r="H131">
        <v>26.041666666666661</v>
      </c>
      <c r="J131" s="19">
        <v>151.26512651265</v>
      </c>
      <c r="K131" s="19">
        <v>158.14081408141001</v>
      </c>
      <c r="L131" s="19">
        <v>171.89218921892001</v>
      </c>
      <c r="M131" s="19">
        <v>178.76787678768</v>
      </c>
      <c r="N131">
        <f t="shared" si="61"/>
        <v>22.916666666666476</v>
      </c>
      <c r="O131">
        <f t="shared" si="58"/>
        <v>23.958333333333616</v>
      </c>
      <c r="P131">
        <f t="shared" si="59"/>
        <v>26.041666666666377</v>
      </c>
      <c r="Q131">
        <f t="shared" si="60"/>
        <v>27.083333333333517</v>
      </c>
      <c r="S131">
        <v>107.6658053402239</v>
      </c>
      <c r="T131">
        <v>123.8156761412574</v>
      </c>
      <c r="U131">
        <v>145.3488372093025</v>
      </c>
      <c r="V131">
        <v>145.3488372093025</v>
      </c>
      <c r="W131">
        <v>20.833333333333321</v>
      </c>
      <c r="X131">
        <v>23.958333333333311</v>
      </c>
      <c r="Y131">
        <v>28.125000000000021</v>
      </c>
      <c r="Z131">
        <v>28.125000000000021</v>
      </c>
      <c r="AB131">
        <v>153.06122448979571</v>
      </c>
      <c r="AC131">
        <v>153.06122448979571</v>
      </c>
      <c r="AD131">
        <v>133.92857142857159</v>
      </c>
      <c r="AE131">
        <v>165.81632653061209</v>
      </c>
      <c r="AF131">
        <v>24.999999999999961</v>
      </c>
      <c r="AG131">
        <v>24.999999999999961</v>
      </c>
      <c r="AH131">
        <v>21.875000000000021</v>
      </c>
      <c r="AI131">
        <v>27.0833333333333</v>
      </c>
      <c r="AK131">
        <v>120.19230769230759</v>
      </c>
      <c r="AL131">
        <v>125</v>
      </c>
      <c r="AM131">
        <v>81.730769230769056</v>
      </c>
      <c r="AN131">
        <v>134.61538461538481</v>
      </c>
      <c r="AO131">
        <v>26.04166666666665</v>
      </c>
      <c r="AP131">
        <v>27.083333333333329</v>
      </c>
      <c r="AQ131">
        <v>17.7083333333333</v>
      </c>
      <c r="AR131">
        <v>29.1666666666667</v>
      </c>
    </row>
    <row r="132" spans="1:44" ht="17" x14ac:dyDescent="0.2">
      <c r="A132">
        <v>148.67101044575429</v>
      </c>
      <c r="B132">
        <v>135.74309649394951</v>
      </c>
      <c r="C132">
        <v>168.06288137346201</v>
      </c>
      <c r="D132">
        <v>168.06288137346201</v>
      </c>
      <c r="E132">
        <v>23.958333333333311</v>
      </c>
      <c r="F132">
        <v>21.874999999999961</v>
      </c>
      <c r="G132">
        <v>27.08333333333341</v>
      </c>
      <c r="H132">
        <v>27.08333333333341</v>
      </c>
      <c r="J132" s="19">
        <v>178.76787678768</v>
      </c>
      <c r="K132" s="19">
        <v>137.51375137514</v>
      </c>
      <c r="L132" s="19">
        <v>165.01650165016</v>
      </c>
      <c r="M132" s="19">
        <v>192.51925192518999</v>
      </c>
      <c r="N132">
        <f t="shared" si="61"/>
        <v>27.083333333333517</v>
      </c>
      <c r="O132">
        <f t="shared" si="58"/>
        <v>20.833333333333709</v>
      </c>
      <c r="P132">
        <f t="shared" si="59"/>
        <v>24.999999999999236</v>
      </c>
      <c r="Q132">
        <f t="shared" si="60"/>
        <v>29.166666666666284</v>
      </c>
      <c r="S132">
        <v>123.8156761412574</v>
      </c>
      <c r="T132">
        <v>113.0490956072354</v>
      </c>
      <c r="U132">
        <v>134.5822566752795</v>
      </c>
      <c r="V132">
        <v>123.8156761412574</v>
      </c>
      <c r="W132">
        <v>23.958333333333311</v>
      </c>
      <c r="X132">
        <v>21.875000000000039</v>
      </c>
      <c r="Y132">
        <v>26.041666666666579</v>
      </c>
      <c r="Z132">
        <v>23.958333333333311</v>
      </c>
      <c r="AB132">
        <v>146.68367346938791</v>
      </c>
      <c r="AC132">
        <v>159.43877551020429</v>
      </c>
      <c r="AD132">
        <v>146.68367346938791</v>
      </c>
      <c r="AE132">
        <v>172.19387755102071</v>
      </c>
      <c r="AF132">
        <v>23.958333333333361</v>
      </c>
      <c r="AG132">
        <v>26.0416666666667</v>
      </c>
      <c r="AH132">
        <v>23.958333333333361</v>
      </c>
      <c r="AI132">
        <v>28.12500000000005</v>
      </c>
      <c r="AK132">
        <v>120.19230769230759</v>
      </c>
      <c r="AL132">
        <v>120.19230769230759</v>
      </c>
      <c r="AM132">
        <v>57.692307692307622</v>
      </c>
      <c r="AN132">
        <v>187.49999999999949</v>
      </c>
      <c r="AO132">
        <v>26.04166666666665</v>
      </c>
      <c r="AP132">
        <v>26.04166666666665</v>
      </c>
      <c r="AQ132">
        <v>12.49999999999998</v>
      </c>
      <c r="AR132">
        <v>40.624999999999901</v>
      </c>
    </row>
    <row r="133" spans="1:44" ht="17" x14ac:dyDescent="0.2">
      <c r="A133">
        <v>142.2070534698523</v>
      </c>
      <c r="B133">
        <v>142.2070534698523</v>
      </c>
      <c r="C133">
        <v>174.526838349364</v>
      </c>
      <c r="D133">
        <v>168.06288137346201</v>
      </c>
      <c r="E133">
        <v>22.9166666666667</v>
      </c>
      <c r="F133">
        <v>22.9166666666667</v>
      </c>
      <c r="G133">
        <v>28.125000000000011</v>
      </c>
      <c r="H133">
        <v>27.08333333333341</v>
      </c>
      <c r="J133" s="19">
        <v>144.38943894389001</v>
      </c>
      <c r="K133" s="19">
        <v>151.26512651265</v>
      </c>
      <c r="L133" s="19">
        <v>178.76787678768</v>
      </c>
      <c r="M133" s="19">
        <v>171.89218921892001</v>
      </c>
      <c r="N133">
        <f t="shared" si="61"/>
        <v>21.874999999999336</v>
      </c>
      <c r="O133">
        <f t="shared" si="58"/>
        <v>22.916666666666476</v>
      </c>
      <c r="P133">
        <f t="shared" si="59"/>
        <v>27.083333333333517</v>
      </c>
      <c r="Q133">
        <f t="shared" si="60"/>
        <v>26.041666666666377</v>
      </c>
      <c r="S133">
        <v>123.8156761412574</v>
      </c>
      <c r="T133">
        <v>129.19896640826849</v>
      </c>
      <c r="U133">
        <v>139.96554694229141</v>
      </c>
      <c r="V133">
        <v>139.96554694229141</v>
      </c>
      <c r="W133">
        <v>23.958333333333311</v>
      </c>
      <c r="X133">
        <v>24.99999999999995</v>
      </c>
      <c r="Y133">
        <v>27.083333333333389</v>
      </c>
      <c r="Z133">
        <v>27.083333333333389</v>
      </c>
      <c r="AB133">
        <v>140.30612244897929</v>
      </c>
      <c r="AC133">
        <v>146.68367346938791</v>
      </c>
      <c r="AD133">
        <v>159.43877551020429</v>
      </c>
      <c r="AE133">
        <v>159.43877551020429</v>
      </c>
      <c r="AF133">
        <v>22.916666666666611</v>
      </c>
      <c r="AG133">
        <v>23.958333333333361</v>
      </c>
      <c r="AH133">
        <v>26.0416666666667</v>
      </c>
      <c r="AI133">
        <v>26.0416666666667</v>
      </c>
      <c r="AK133">
        <v>158.65384615384571</v>
      </c>
      <c r="AL133">
        <v>139.4230769230771</v>
      </c>
      <c r="AM133">
        <v>139.4230769230771</v>
      </c>
      <c r="AO133">
        <v>34.374999999999908</v>
      </c>
      <c r="AP133">
        <v>30.208333333333371</v>
      </c>
      <c r="AQ133">
        <v>30.208333333333371</v>
      </c>
    </row>
    <row r="134" spans="1:44" ht="17" x14ac:dyDescent="0.2">
      <c r="A134">
        <v>135.74309649394951</v>
      </c>
      <c r="B134">
        <v>142.2070534698523</v>
      </c>
      <c r="C134">
        <v>187.45475230116881</v>
      </c>
      <c r="D134">
        <v>142.2070534698523</v>
      </c>
      <c r="E134">
        <v>21.874999999999961</v>
      </c>
      <c r="F134">
        <v>22.9166666666667</v>
      </c>
      <c r="G134">
        <v>30.208333333333361</v>
      </c>
      <c r="H134">
        <v>22.9166666666667</v>
      </c>
      <c r="J134" s="19">
        <v>178.76787678768</v>
      </c>
      <c r="K134" s="19">
        <v>130.63806380637999</v>
      </c>
      <c r="L134" s="19">
        <v>165.01650165017</v>
      </c>
      <c r="M134" s="19">
        <v>185.64356435644001</v>
      </c>
      <c r="N134">
        <f t="shared" si="61"/>
        <v>27.083333333333517</v>
      </c>
      <c r="O134">
        <f t="shared" si="58"/>
        <v>19.791666666666568</v>
      </c>
      <c r="P134">
        <f t="shared" si="59"/>
        <v>25.000000000000753</v>
      </c>
      <c r="Q134">
        <f t="shared" si="60"/>
        <v>28.125000000000657</v>
      </c>
      <c r="S134">
        <v>123.8156761412574</v>
      </c>
      <c r="T134">
        <v>123.8156761412574</v>
      </c>
      <c r="U134">
        <v>129.19896640826849</v>
      </c>
      <c r="V134">
        <v>139.96554694229141</v>
      </c>
      <c r="W134">
        <v>23.958333333333311</v>
      </c>
      <c r="X134">
        <v>23.958333333333311</v>
      </c>
      <c r="Y134">
        <v>24.99999999999995</v>
      </c>
      <c r="Z134">
        <v>27.083333333333389</v>
      </c>
      <c r="AB134">
        <v>140.30612244897929</v>
      </c>
      <c r="AC134">
        <v>159.43877551020429</v>
      </c>
      <c r="AD134">
        <v>133.92857142857159</v>
      </c>
      <c r="AE134">
        <v>172.19387755102071</v>
      </c>
      <c r="AF134">
        <v>22.916666666666611</v>
      </c>
      <c r="AG134">
        <v>26.0416666666667</v>
      </c>
      <c r="AH134">
        <v>21.875000000000021</v>
      </c>
      <c r="AI134">
        <v>28.12500000000005</v>
      </c>
      <c r="AK134">
        <v>182.69230769230759</v>
      </c>
      <c r="AL134">
        <v>163.46153846153811</v>
      </c>
      <c r="AM134">
        <v>115.3846153846152</v>
      </c>
      <c r="AO134">
        <v>39.583333333333307</v>
      </c>
      <c r="AP134">
        <v>35.416666666666593</v>
      </c>
      <c r="AQ134">
        <v>24.999999999999972</v>
      </c>
    </row>
    <row r="135" spans="1:44" ht="17" x14ac:dyDescent="0.2">
      <c r="A135">
        <v>142.2070534698523</v>
      </c>
      <c r="B135">
        <v>148.67101044575429</v>
      </c>
      <c r="C135">
        <v>168.06288137346201</v>
      </c>
      <c r="D135">
        <v>161.5989243975591</v>
      </c>
      <c r="E135">
        <v>22.9166666666667</v>
      </c>
      <c r="F135">
        <v>23.958333333333311</v>
      </c>
      <c r="G135">
        <v>27.08333333333341</v>
      </c>
      <c r="H135">
        <v>26.041666666666661</v>
      </c>
      <c r="J135" s="19">
        <v>171.89218921892001</v>
      </c>
      <c r="K135" s="19">
        <v>123.76237623762</v>
      </c>
      <c r="L135" s="19">
        <v>178.76787678768</v>
      </c>
      <c r="M135" s="19">
        <v>185.64356435644001</v>
      </c>
      <c r="N135">
        <f t="shared" si="61"/>
        <v>26.041666666666377</v>
      </c>
      <c r="O135">
        <f t="shared" si="58"/>
        <v>18.749999999999432</v>
      </c>
      <c r="P135">
        <f t="shared" si="59"/>
        <v>27.083333333333517</v>
      </c>
      <c r="Q135">
        <f t="shared" si="60"/>
        <v>28.125000000000657</v>
      </c>
      <c r="S135">
        <v>102.28251507321239</v>
      </c>
      <c r="T135">
        <v>134.5822566752795</v>
      </c>
      <c r="U135">
        <v>129.19896640826849</v>
      </c>
      <c r="V135">
        <v>161.4987080103356</v>
      </c>
      <c r="W135">
        <v>19.79166666666659</v>
      </c>
      <c r="X135">
        <v>26.041666666666579</v>
      </c>
      <c r="Y135">
        <v>24.99999999999995</v>
      </c>
      <c r="Z135">
        <v>31.249999999999929</v>
      </c>
      <c r="AB135">
        <v>133.92857142857159</v>
      </c>
      <c r="AC135">
        <v>153.06122448979571</v>
      </c>
      <c r="AD135">
        <v>133.92857142857159</v>
      </c>
      <c r="AE135">
        <v>184.94897959183709</v>
      </c>
      <c r="AF135">
        <v>21.875000000000021</v>
      </c>
      <c r="AG135">
        <v>24.999999999999961</v>
      </c>
      <c r="AH135">
        <v>21.875000000000021</v>
      </c>
      <c r="AI135">
        <v>30.208333333333389</v>
      </c>
      <c r="AK135">
        <v>120.19230769230759</v>
      </c>
      <c r="AL135">
        <v>115.3846153846152</v>
      </c>
      <c r="AM135">
        <v>91.346153846154266</v>
      </c>
      <c r="AN135">
        <v>134.61538461538481</v>
      </c>
      <c r="AO135">
        <v>26.04166666666665</v>
      </c>
      <c r="AP135">
        <v>24.999999999999972</v>
      </c>
      <c r="AQ135">
        <v>19.79166666666676</v>
      </c>
      <c r="AR135">
        <v>29.1666666666667</v>
      </c>
    </row>
    <row r="136" spans="1:44" ht="17" x14ac:dyDescent="0.2">
      <c r="A136">
        <v>142.2070534698523</v>
      </c>
      <c r="B136">
        <v>135.74309649394951</v>
      </c>
      <c r="C136">
        <v>168.06288137346201</v>
      </c>
      <c r="D136">
        <v>168.06288137346201</v>
      </c>
      <c r="E136">
        <v>22.9166666666667</v>
      </c>
      <c r="F136">
        <v>21.874999999999961</v>
      </c>
      <c r="G136">
        <v>27.08333333333341</v>
      </c>
      <c r="H136">
        <v>27.08333333333341</v>
      </c>
      <c r="J136" s="19">
        <v>165.01650165017</v>
      </c>
      <c r="K136" s="19">
        <v>123.76237623762</v>
      </c>
      <c r="L136" s="19">
        <v>178.76787678768</v>
      </c>
      <c r="M136" s="19">
        <v>178.76787678768</v>
      </c>
      <c r="N136">
        <f t="shared" si="61"/>
        <v>25.000000000000753</v>
      </c>
      <c r="O136">
        <f t="shared" si="58"/>
        <v>18.749999999999432</v>
      </c>
      <c r="P136">
        <f t="shared" si="59"/>
        <v>27.083333333333517</v>
      </c>
      <c r="Q136">
        <f t="shared" si="60"/>
        <v>27.083333333333517</v>
      </c>
      <c r="S136">
        <v>102.28251507321239</v>
      </c>
      <c r="T136">
        <v>129.19896640826849</v>
      </c>
      <c r="U136">
        <v>134.5822566752795</v>
      </c>
      <c r="V136">
        <v>139.96554694229141</v>
      </c>
      <c r="W136">
        <v>19.79166666666659</v>
      </c>
      <c r="X136">
        <v>24.99999999999995</v>
      </c>
      <c r="Y136">
        <v>26.041666666666579</v>
      </c>
      <c r="Z136">
        <v>27.083333333333389</v>
      </c>
      <c r="AB136">
        <v>140.30612244897929</v>
      </c>
      <c r="AC136">
        <v>159.43877551020429</v>
      </c>
      <c r="AD136">
        <v>146.68367346938791</v>
      </c>
      <c r="AE136">
        <v>159.43877551020429</v>
      </c>
      <c r="AF136">
        <v>22.916666666666611</v>
      </c>
      <c r="AG136">
        <v>26.0416666666667</v>
      </c>
      <c r="AH136">
        <v>23.958333333333361</v>
      </c>
      <c r="AI136">
        <v>26.0416666666667</v>
      </c>
      <c r="AK136">
        <v>173.0769230769229</v>
      </c>
      <c r="AL136">
        <v>125</v>
      </c>
      <c r="AM136">
        <v>168.26923076923049</v>
      </c>
      <c r="AO136">
        <v>37.499999999999957</v>
      </c>
      <c r="AP136">
        <v>27.083333333333329</v>
      </c>
      <c r="AQ136">
        <v>36.458333333333272</v>
      </c>
    </row>
    <row r="137" spans="1:44" ht="17" x14ac:dyDescent="0.2">
      <c r="A137">
        <v>142.2070534698523</v>
      </c>
      <c r="B137">
        <v>142.2070534698523</v>
      </c>
      <c r="C137">
        <v>161.59892439756001</v>
      </c>
      <c r="D137">
        <v>174.526838349364</v>
      </c>
      <c r="E137">
        <v>22.9166666666667</v>
      </c>
      <c r="F137">
        <v>22.9166666666667</v>
      </c>
      <c r="G137">
        <v>26.041666666666799</v>
      </c>
      <c r="H137">
        <v>28.125000000000011</v>
      </c>
      <c r="J137" s="19">
        <v>151.26512651265</v>
      </c>
      <c r="K137" s="19">
        <v>158.14081408141001</v>
      </c>
      <c r="L137" s="19">
        <v>178.76787678768</v>
      </c>
      <c r="M137" s="19">
        <v>165.01650165017</v>
      </c>
      <c r="N137">
        <f t="shared" si="61"/>
        <v>22.916666666666476</v>
      </c>
      <c r="O137">
        <f t="shared" si="58"/>
        <v>23.958333333333616</v>
      </c>
      <c r="P137">
        <f t="shared" si="59"/>
        <v>27.083333333333517</v>
      </c>
      <c r="Q137">
        <f t="shared" si="60"/>
        <v>25.000000000000753</v>
      </c>
      <c r="S137">
        <v>96.899224806201346</v>
      </c>
      <c r="T137">
        <v>134.5822566752795</v>
      </c>
      <c r="U137">
        <v>139.96554694229141</v>
      </c>
      <c r="V137">
        <v>139.96554694229141</v>
      </c>
      <c r="W137">
        <v>18.749999999999961</v>
      </c>
      <c r="X137">
        <v>26.041666666666579</v>
      </c>
      <c r="Y137">
        <v>27.083333333333389</v>
      </c>
      <c r="Z137">
        <v>27.083333333333389</v>
      </c>
      <c r="AB137">
        <v>159.43877551020429</v>
      </c>
      <c r="AC137">
        <v>133.92857142857059</v>
      </c>
      <c r="AD137">
        <v>153.06122448979659</v>
      </c>
      <c r="AE137">
        <v>172.19387755102071</v>
      </c>
      <c r="AF137">
        <v>26.0416666666667</v>
      </c>
      <c r="AG137">
        <v>21.874999999999869</v>
      </c>
      <c r="AH137">
        <v>25.00000000000011</v>
      </c>
      <c r="AI137">
        <v>28.12500000000005</v>
      </c>
      <c r="AK137">
        <v>177.88461538461519</v>
      </c>
      <c r="AL137">
        <v>139.4230769230771</v>
      </c>
      <c r="AM137">
        <v>139.4230769230771</v>
      </c>
      <c r="AO137">
        <v>38.541666666666643</v>
      </c>
      <c r="AP137">
        <v>30.208333333333371</v>
      </c>
      <c r="AQ137">
        <v>30.208333333333371</v>
      </c>
    </row>
    <row r="138" spans="1:44" ht="17" x14ac:dyDescent="0.2">
      <c r="A138">
        <v>142.2070534698523</v>
      </c>
      <c r="B138">
        <v>135.74309649395039</v>
      </c>
      <c r="C138">
        <v>187.4547523011679</v>
      </c>
      <c r="D138">
        <v>148.67101044575429</v>
      </c>
      <c r="E138">
        <v>22.9166666666667</v>
      </c>
      <c r="F138">
        <v>21.875000000000099</v>
      </c>
      <c r="G138">
        <v>30.208333333333211</v>
      </c>
      <c r="H138">
        <v>23.958333333333311</v>
      </c>
      <c r="J138" s="22">
        <v>158.14081408141001</v>
      </c>
      <c r="K138" s="22">
        <v>192.51925192518999</v>
      </c>
      <c r="L138" s="22">
        <v>151.26512651265</v>
      </c>
      <c r="M138" s="22">
        <v>165.01650165016</v>
      </c>
      <c r="N138">
        <f t="shared" si="61"/>
        <v>23.958333333333616</v>
      </c>
      <c r="O138">
        <f t="shared" si="58"/>
        <v>29.166666666666284</v>
      </c>
      <c r="P138">
        <f t="shared" si="59"/>
        <v>22.916666666666476</v>
      </c>
      <c r="Q138">
        <f t="shared" si="60"/>
        <v>24.999999999999236</v>
      </c>
      <c r="S138">
        <v>129.19896640826849</v>
      </c>
      <c r="T138">
        <v>118.43238587424641</v>
      </c>
      <c r="U138">
        <v>139.96554694229141</v>
      </c>
      <c r="V138">
        <v>129.19896640826849</v>
      </c>
      <c r="W138">
        <v>24.99999999999995</v>
      </c>
      <c r="X138">
        <v>22.916666666666671</v>
      </c>
      <c r="Y138">
        <v>27.083333333333389</v>
      </c>
      <c r="Z138">
        <v>24.99999999999995</v>
      </c>
      <c r="AB138">
        <v>153.06122448979659</v>
      </c>
      <c r="AC138">
        <v>159.43877551020341</v>
      </c>
      <c r="AD138">
        <v>133.92857142857059</v>
      </c>
      <c r="AE138">
        <v>184.94897959183621</v>
      </c>
      <c r="AF138">
        <v>25.00000000000011</v>
      </c>
      <c r="AG138">
        <v>26.041666666666551</v>
      </c>
      <c r="AH138">
        <v>21.874999999999869</v>
      </c>
      <c r="AI138">
        <v>30.20833333333324</v>
      </c>
      <c r="AK138">
        <v>182.69230769230759</v>
      </c>
      <c r="AL138">
        <v>149.03846153846189</v>
      </c>
      <c r="AM138">
        <v>129.80769230769241</v>
      </c>
      <c r="AO138">
        <v>39.583333333333307</v>
      </c>
      <c r="AP138">
        <v>32.291666666666742</v>
      </c>
      <c r="AQ138">
        <v>28.125000000000021</v>
      </c>
    </row>
    <row r="139" spans="1:44" ht="17" x14ac:dyDescent="0.2">
      <c r="A139">
        <v>155.13496742165631</v>
      </c>
      <c r="B139">
        <v>161.59892439756001</v>
      </c>
      <c r="C139">
        <v>174.526838349364</v>
      </c>
      <c r="D139">
        <v>155.1349674216508</v>
      </c>
      <c r="E139">
        <v>24.999999999999911</v>
      </c>
      <c r="F139">
        <v>26.041666666666799</v>
      </c>
      <c r="G139">
        <v>28.125000000000011</v>
      </c>
      <c r="H139">
        <v>24.99999999999903</v>
      </c>
      <c r="J139" s="22">
        <v>165.01650165016</v>
      </c>
      <c r="K139" s="22">
        <v>178.76787678768</v>
      </c>
      <c r="L139" s="22">
        <v>137.51375137514</v>
      </c>
      <c r="M139" s="22">
        <v>192.51925192518999</v>
      </c>
      <c r="N139">
        <f t="shared" si="61"/>
        <v>24.999999999999236</v>
      </c>
      <c r="O139">
        <f t="shared" si="58"/>
        <v>27.083333333333517</v>
      </c>
      <c r="P139">
        <f t="shared" si="59"/>
        <v>20.833333333333709</v>
      </c>
      <c r="Q139">
        <f t="shared" si="60"/>
        <v>29.166666666666284</v>
      </c>
      <c r="S139">
        <v>107.6658053402243</v>
      </c>
      <c r="T139">
        <v>129.19896640826849</v>
      </c>
      <c r="U139">
        <v>150.73212747631351</v>
      </c>
      <c r="V139">
        <v>129.1989664082721</v>
      </c>
      <c r="W139">
        <v>20.8333333333334</v>
      </c>
      <c r="X139">
        <v>24.99999999999995</v>
      </c>
      <c r="Y139">
        <v>29.166666666666661</v>
      </c>
      <c r="Z139">
        <v>25.00000000000065</v>
      </c>
      <c r="AB139">
        <v>133.92857142857059</v>
      </c>
      <c r="AC139">
        <v>159.43877551020341</v>
      </c>
      <c r="AD139">
        <v>146.68367346938791</v>
      </c>
      <c r="AE139">
        <v>159.4387755102052</v>
      </c>
      <c r="AF139">
        <v>21.874999999999869</v>
      </c>
      <c r="AG139">
        <v>26.041666666666551</v>
      </c>
      <c r="AH139">
        <v>23.958333333333361</v>
      </c>
      <c r="AI139">
        <v>26.041666666666849</v>
      </c>
      <c r="AK139">
        <v>120.19230769230759</v>
      </c>
      <c r="AL139">
        <v>115.3846153846152</v>
      </c>
      <c r="AM139">
        <v>91.346153846154266</v>
      </c>
      <c r="AN139">
        <v>134.61538461538481</v>
      </c>
      <c r="AO139">
        <v>26.04166666666665</v>
      </c>
      <c r="AP139">
        <v>24.999999999999972</v>
      </c>
      <c r="AQ139">
        <v>19.79166666666676</v>
      </c>
      <c r="AR139">
        <v>29.1666666666667</v>
      </c>
    </row>
    <row r="140" spans="1:44" ht="31" x14ac:dyDescent="0.35">
      <c r="A140" s="3"/>
      <c r="M140" s="21"/>
      <c r="N140" s="20"/>
      <c r="O140" s="20"/>
      <c r="P140" s="20"/>
      <c r="Q140" s="20"/>
    </row>
    <row r="141" spans="1:44" ht="31" x14ac:dyDescent="0.35">
      <c r="A141" s="12" t="s">
        <v>52</v>
      </c>
      <c r="B141" s="13"/>
      <c r="C141" s="13"/>
      <c r="D141" s="13"/>
      <c r="E141" s="13"/>
      <c r="F141" s="13"/>
      <c r="G141" s="13"/>
      <c r="H141" s="13"/>
      <c r="J141" s="9" t="s">
        <v>19</v>
      </c>
      <c r="K141" s="10"/>
      <c r="L141" s="10"/>
      <c r="M141" s="10"/>
      <c r="N141" s="10"/>
      <c r="O141" s="10"/>
      <c r="P141" s="10"/>
      <c r="Q141" s="10"/>
      <c r="S141" s="1" t="s">
        <v>97</v>
      </c>
      <c r="T141" s="2"/>
      <c r="U141" s="2"/>
      <c r="V141" s="2"/>
      <c r="W141" s="2"/>
      <c r="X141" s="2"/>
      <c r="Y141" s="2"/>
      <c r="Z141" s="2"/>
      <c r="AB141" s="14" t="s">
        <v>122</v>
      </c>
      <c r="AC141" s="15"/>
      <c r="AD141" s="15"/>
      <c r="AE141" s="15"/>
      <c r="AF141" s="15"/>
      <c r="AG141" s="15"/>
      <c r="AH141" s="15"/>
      <c r="AI141" s="15"/>
      <c r="AK141" s="16" t="s">
        <v>146</v>
      </c>
      <c r="AL141" s="17"/>
      <c r="AM141" s="17"/>
      <c r="AN141" s="17"/>
      <c r="AO141" s="17"/>
      <c r="AP141" s="17"/>
      <c r="AQ141" s="18"/>
      <c r="AR141" s="17"/>
    </row>
    <row r="142" spans="1:44" ht="31" x14ac:dyDescent="0.35">
      <c r="A142" s="3" t="s">
        <v>2</v>
      </c>
      <c r="E142" s="4"/>
      <c r="F142" s="6" t="s">
        <v>63</v>
      </c>
      <c r="G142" s="5"/>
      <c r="H142" s="5"/>
      <c r="J142" s="3" t="s">
        <v>2</v>
      </c>
      <c r="N142" s="23" t="s">
        <v>18</v>
      </c>
      <c r="O142" s="6" t="s">
        <v>24</v>
      </c>
      <c r="P142" s="6"/>
      <c r="Q142" s="6"/>
      <c r="S142" s="3" t="s">
        <v>2</v>
      </c>
      <c r="W142" s="23" t="s">
        <v>18</v>
      </c>
      <c r="X142" s="24" t="s">
        <v>91</v>
      </c>
      <c r="AB142" s="3" t="s">
        <v>2</v>
      </c>
      <c r="AF142" s="23" t="s">
        <v>18</v>
      </c>
      <c r="AG142" s="24" t="s">
        <v>121</v>
      </c>
      <c r="AH142" s="19"/>
      <c r="AI142" s="19"/>
      <c r="AK142" s="3" t="s">
        <v>2</v>
      </c>
      <c r="AO142" s="6" t="s">
        <v>3</v>
      </c>
      <c r="AP142" s="6" t="s">
        <v>144</v>
      </c>
      <c r="AQ142" s="6"/>
      <c r="AR142" s="6"/>
    </row>
    <row r="143" spans="1:44" x14ac:dyDescent="0.2">
      <c r="A143" s="7">
        <v>1</v>
      </c>
      <c r="B143" s="6">
        <v>2</v>
      </c>
      <c r="C143" s="6">
        <v>3</v>
      </c>
      <c r="D143" s="6">
        <v>4</v>
      </c>
      <c r="E143" s="7">
        <v>1</v>
      </c>
      <c r="F143" s="6">
        <v>2</v>
      </c>
      <c r="G143" s="6">
        <v>3</v>
      </c>
      <c r="H143" s="6">
        <v>4</v>
      </c>
      <c r="J143" s="7">
        <v>1</v>
      </c>
      <c r="K143" s="6">
        <v>2</v>
      </c>
      <c r="L143" s="6">
        <v>3</v>
      </c>
      <c r="M143" s="6">
        <v>4</v>
      </c>
      <c r="N143" s="7">
        <v>1</v>
      </c>
      <c r="O143" s="6">
        <v>2</v>
      </c>
      <c r="P143" s="6">
        <v>3</v>
      </c>
      <c r="Q143" s="6">
        <v>4</v>
      </c>
      <c r="S143" s="7">
        <v>1</v>
      </c>
      <c r="T143" s="6">
        <v>2</v>
      </c>
      <c r="U143" s="6">
        <v>3</v>
      </c>
      <c r="V143" s="6">
        <v>4</v>
      </c>
      <c r="W143" s="7">
        <v>1</v>
      </c>
      <c r="X143" s="6">
        <v>2</v>
      </c>
      <c r="Y143" s="6">
        <v>3</v>
      </c>
      <c r="Z143" s="6">
        <v>4</v>
      </c>
      <c r="AB143" s="7">
        <v>1</v>
      </c>
      <c r="AC143" s="6">
        <v>2</v>
      </c>
      <c r="AD143" s="6">
        <v>3</v>
      </c>
      <c r="AE143" s="6">
        <v>4</v>
      </c>
      <c r="AF143" s="7">
        <v>1</v>
      </c>
      <c r="AG143" s="6">
        <v>2</v>
      </c>
      <c r="AH143" s="6">
        <v>3</v>
      </c>
      <c r="AI143" s="6">
        <v>4</v>
      </c>
      <c r="AK143" s="7">
        <v>1</v>
      </c>
      <c r="AL143" s="6">
        <v>2</v>
      </c>
      <c r="AM143" s="6">
        <v>3</v>
      </c>
      <c r="AN143" s="6">
        <v>4</v>
      </c>
      <c r="AO143" s="7">
        <v>1</v>
      </c>
      <c r="AP143" s="6">
        <v>2</v>
      </c>
      <c r="AQ143" s="6">
        <v>3</v>
      </c>
      <c r="AR143" s="6">
        <v>4</v>
      </c>
    </row>
    <row r="144" spans="1:44" ht="17" x14ac:dyDescent="0.2">
      <c r="A144">
        <v>132.9658640363601</v>
      </c>
      <c r="B144">
        <v>139.0097669471038</v>
      </c>
      <c r="C144">
        <v>157.14147567933469</v>
      </c>
      <c r="D144">
        <v>163.18537859007839</v>
      </c>
      <c r="E144">
        <v>22.916666666666671</v>
      </c>
      <c r="F144">
        <v>23.958333333333339</v>
      </c>
      <c r="G144">
        <v>27.083333333333329</v>
      </c>
      <c r="H144">
        <v>28.125</v>
      </c>
      <c r="J144" s="19">
        <v>142.45014245013999</v>
      </c>
      <c r="K144" s="19">
        <v>148.38556505222999</v>
      </c>
      <c r="L144" s="19">
        <v>136.51471984804999</v>
      </c>
      <c r="M144" s="19">
        <v>178.06267806267999</v>
      </c>
      <c r="N144">
        <f>(J144*100)/(60/105.3*1000)</f>
        <v>24.999999999999567</v>
      </c>
      <c r="O144">
        <f t="shared" ref="O144:O159" si="62">(K144*100)/(60/105.3*1000)</f>
        <v>26.041666666666362</v>
      </c>
      <c r="P144">
        <f t="shared" ref="P144:P159" si="63">(L144*100)/(60/105.3*1000)</f>
        <v>23.958333333332771</v>
      </c>
      <c r="Q144">
        <f t="shared" ref="Q144:Q159" si="64">(M144*100)/(60/105.3*1000)</f>
        <v>31.250000000000334</v>
      </c>
      <c r="S144" s="27">
        <v>102.0908</v>
      </c>
      <c r="T144" s="27">
        <v>148.0317</v>
      </c>
      <c r="U144" s="27">
        <v>102.0908</v>
      </c>
      <c r="V144" s="27">
        <v>148.0317</v>
      </c>
      <c r="W144" s="27">
        <v>20.83333</v>
      </c>
      <c r="X144" s="27">
        <v>30.20833</v>
      </c>
      <c r="Y144" s="27">
        <v>20.83333</v>
      </c>
      <c r="Z144" s="27">
        <v>30.20833</v>
      </c>
      <c r="AB144">
        <v>203.78730875344871</v>
      </c>
      <c r="AC144">
        <v>195.94933533985451</v>
      </c>
      <c r="AD144">
        <v>188.11136192626029</v>
      </c>
      <c r="AE144">
        <v>188.11136192626029</v>
      </c>
      <c r="AF144">
        <v>27.083333333333329</v>
      </c>
      <c r="AG144">
        <v>26.041666666666661</v>
      </c>
      <c r="AH144">
        <v>25</v>
      </c>
      <c r="AI144">
        <v>25</v>
      </c>
      <c r="AK144">
        <v>153.84615384615381</v>
      </c>
      <c r="AL144">
        <v>153.84615384615381</v>
      </c>
      <c r="AM144">
        <v>177.88461538461539</v>
      </c>
      <c r="AO144">
        <v>33.333333333333329</v>
      </c>
      <c r="AP144">
        <v>33.333333333333329</v>
      </c>
      <c r="AQ144">
        <v>38.541666666666671</v>
      </c>
    </row>
    <row r="145" spans="1:44" ht="17" x14ac:dyDescent="0.2">
      <c r="A145">
        <v>126.92196112561651</v>
      </c>
      <c r="B145">
        <v>132.9658640363601</v>
      </c>
      <c r="C145">
        <v>187.3609902330528</v>
      </c>
      <c r="D145">
        <v>114.8341553041291</v>
      </c>
      <c r="E145">
        <v>21.875</v>
      </c>
      <c r="F145">
        <v>22.916666666666671</v>
      </c>
      <c r="G145">
        <v>32.29166666666665</v>
      </c>
      <c r="H145">
        <v>19.79166666666665</v>
      </c>
      <c r="J145" s="19">
        <v>130.57929724595999</v>
      </c>
      <c r="K145" s="19">
        <v>136.51471984804999</v>
      </c>
      <c r="L145" s="19">
        <v>154.32098765431999</v>
      </c>
      <c r="M145" s="19">
        <v>136.51471984804999</v>
      </c>
      <c r="N145">
        <f t="shared" ref="N145:N159" si="65">(J145*100)/(60/105.3*1000)</f>
        <v>22.916666666665975</v>
      </c>
      <c r="O145">
        <f t="shared" si="62"/>
        <v>23.958333333332771</v>
      </c>
      <c r="P145">
        <f t="shared" si="63"/>
        <v>27.083333333333158</v>
      </c>
      <c r="Q145">
        <f t="shared" si="64"/>
        <v>23.958333333332771</v>
      </c>
      <c r="S145" s="27">
        <v>91.881739999999994</v>
      </c>
      <c r="T145" s="27">
        <v>127.6135</v>
      </c>
      <c r="U145" s="27">
        <v>137.82259999999999</v>
      </c>
      <c r="V145" s="27">
        <v>122.509</v>
      </c>
      <c r="W145" s="27">
        <v>18.75</v>
      </c>
      <c r="X145" s="27">
        <v>26.04167</v>
      </c>
      <c r="Y145" s="27">
        <v>28.125</v>
      </c>
      <c r="Z145" s="27">
        <v>25</v>
      </c>
      <c r="AB145">
        <v>219.46325558063711</v>
      </c>
      <c r="AC145">
        <v>156.75946827188361</v>
      </c>
      <c r="AD145">
        <v>195.94933533985451</v>
      </c>
      <c r="AE145">
        <v>219.463255580637</v>
      </c>
      <c r="AF145">
        <v>29.166666666666671</v>
      </c>
      <c r="AG145">
        <v>20.833333333333339</v>
      </c>
      <c r="AH145">
        <v>26.041666666666671</v>
      </c>
      <c r="AI145">
        <v>29.16666666666665</v>
      </c>
      <c r="AK145">
        <v>168.26923076923069</v>
      </c>
      <c r="AL145">
        <v>134.61538461538461</v>
      </c>
      <c r="AM145">
        <v>134.61538461538461</v>
      </c>
      <c r="AO145">
        <v>36.458333333333321</v>
      </c>
      <c r="AP145">
        <v>29.166666666666671</v>
      </c>
      <c r="AQ145">
        <v>29.166666666666671</v>
      </c>
    </row>
    <row r="146" spans="1:44" ht="17" x14ac:dyDescent="0.2">
      <c r="A146">
        <v>132.96586403635999</v>
      </c>
      <c r="B146">
        <v>139.0097669471038</v>
      </c>
      <c r="C146">
        <v>157.14147567933469</v>
      </c>
      <c r="D146">
        <v>157.14147567933469</v>
      </c>
      <c r="E146">
        <v>22.91666666666665</v>
      </c>
      <c r="F146">
        <v>23.958333333333339</v>
      </c>
      <c r="G146">
        <v>27.083333333333329</v>
      </c>
      <c r="H146">
        <v>27.083333333333329</v>
      </c>
      <c r="J146" s="19">
        <v>154.32098765431999</v>
      </c>
      <c r="K146" s="19">
        <v>118.70845204179</v>
      </c>
      <c r="L146" s="19">
        <v>154.32098765431999</v>
      </c>
      <c r="M146" s="19">
        <v>160.25641025640999</v>
      </c>
      <c r="N146">
        <f t="shared" si="65"/>
        <v>27.083333333333158</v>
      </c>
      <c r="O146">
        <f t="shared" si="62"/>
        <v>20.833333333334142</v>
      </c>
      <c r="P146">
        <f t="shared" si="63"/>
        <v>27.083333333333158</v>
      </c>
      <c r="Q146">
        <f t="shared" si="64"/>
        <v>28.12499999999995</v>
      </c>
      <c r="S146" s="27">
        <v>117.4044</v>
      </c>
      <c r="T146" s="27">
        <v>122.509</v>
      </c>
      <c r="U146" s="27">
        <v>122.509</v>
      </c>
      <c r="V146" s="27">
        <v>137.82259999999999</v>
      </c>
      <c r="W146" s="27">
        <v>23.95833</v>
      </c>
      <c r="X146" s="27">
        <v>25</v>
      </c>
      <c r="Y146" s="27">
        <v>25</v>
      </c>
      <c r="Z146" s="27">
        <v>28.125</v>
      </c>
      <c r="AB146">
        <v>148.92149485828941</v>
      </c>
      <c r="AC146">
        <v>219.463255580637</v>
      </c>
      <c r="AD146">
        <v>180.27338851266609</v>
      </c>
      <c r="AE146">
        <v>195.94933533985429</v>
      </c>
      <c r="AF146">
        <v>19.791666666666661</v>
      </c>
      <c r="AG146">
        <v>29.16666666666665</v>
      </c>
      <c r="AH146">
        <v>23.958333333333329</v>
      </c>
      <c r="AI146">
        <v>26.041666666666639</v>
      </c>
      <c r="AK146">
        <v>120.19230769230759</v>
      </c>
      <c r="AL146">
        <v>120.19230769230759</v>
      </c>
      <c r="AM146">
        <v>110.57692307692309</v>
      </c>
      <c r="AN146">
        <v>115.3846153846155</v>
      </c>
      <c r="AO146">
        <v>26.04166666666665</v>
      </c>
      <c r="AP146">
        <v>26.04166666666665</v>
      </c>
      <c r="AQ146">
        <v>23.958333333333339</v>
      </c>
      <c r="AR146">
        <v>25.000000000000021</v>
      </c>
    </row>
    <row r="147" spans="1:44" ht="17" x14ac:dyDescent="0.2">
      <c r="A147">
        <v>120.87805821487289</v>
      </c>
      <c r="B147">
        <v>145.05366985784741</v>
      </c>
      <c r="C147">
        <v>157.14147567933489</v>
      </c>
      <c r="D147">
        <v>157.14147567933469</v>
      </c>
      <c r="E147">
        <v>20.83333333333335</v>
      </c>
      <c r="F147">
        <v>24.999999999999989</v>
      </c>
      <c r="G147">
        <v>27.083333333333371</v>
      </c>
      <c r="H147">
        <v>27.083333333333329</v>
      </c>
      <c r="J147" s="19">
        <v>124.64387464387001</v>
      </c>
      <c r="K147" s="19">
        <v>142.45014245013999</v>
      </c>
      <c r="L147" s="19">
        <v>142.45014245013999</v>
      </c>
      <c r="M147" s="19">
        <v>160.25641025640999</v>
      </c>
      <c r="N147">
        <f t="shared" si="65"/>
        <v>21.874999999999183</v>
      </c>
      <c r="O147">
        <f t="shared" si="62"/>
        <v>24.999999999999567</v>
      </c>
      <c r="P147">
        <f t="shared" si="63"/>
        <v>24.999999999999567</v>
      </c>
      <c r="Q147">
        <f t="shared" si="64"/>
        <v>28.12499999999995</v>
      </c>
      <c r="S147" s="27">
        <v>107.19540000000001</v>
      </c>
      <c r="T147" s="27">
        <v>127.6135</v>
      </c>
      <c r="U147" s="27">
        <v>122.509</v>
      </c>
      <c r="V147" s="27">
        <v>127.6135</v>
      </c>
      <c r="W147" s="27">
        <v>21.875</v>
      </c>
      <c r="X147" s="27">
        <v>26.04167</v>
      </c>
      <c r="Y147" s="27">
        <v>25</v>
      </c>
      <c r="Z147" s="27">
        <v>26.04167</v>
      </c>
      <c r="AB147">
        <v>203.78730875344851</v>
      </c>
      <c r="AC147">
        <v>180.27338851266629</v>
      </c>
      <c r="AD147">
        <v>203.78730875344851</v>
      </c>
      <c r="AE147">
        <v>180.27338851266629</v>
      </c>
      <c r="AF147">
        <v>27.083333333333311</v>
      </c>
      <c r="AG147">
        <v>23.95833333333335</v>
      </c>
      <c r="AH147">
        <v>27.083333333333311</v>
      </c>
      <c r="AI147">
        <v>23.95833333333335</v>
      </c>
      <c r="AK147">
        <v>149.03846153846141</v>
      </c>
      <c r="AL147">
        <v>76.923076923076906</v>
      </c>
      <c r="AM147">
        <v>76.923076923076906</v>
      </c>
      <c r="AN147">
        <v>153.84615384615381</v>
      </c>
      <c r="AO147">
        <v>32.291666666666643</v>
      </c>
      <c r="AP147">
        <v>16.666666666666661</v>
      </c>
      <c r="AQ147">
        <v>16.666666666666661</v>
      </c>
      <c r="AR147">
        <v>33.333333333333329</v>
      </c>
    </row>
    <row r="148" spans="1:44" ht="17" x14ac:dyDescent="0.2">
      <c r="A148">
        <v>157.14147567933469</v>
      </c>
      <c r="B148">
        <v>120.87805821487289</v>
      </c>
      <c r="C148">
        <v>163.1853785900785</v>
      </c>
      <c r="D148">
        <v>145.05366985784761</v>
      </c>
      <c r="E148">
        <v>27.083333333333329</v>
      </c>
      <c r="F148">
        <v>20.83333333333335</v>
      </c>
      <c r="G148">
        <v>28.125000000000021</v>
      </c>
      <c r="H148">
        <v>25.000000000000028</v>
      </c>
      <c r="J148" s="19">
        <v>124.64387464387001</v>
      </c>
      <c r="K148" s="19">
        <v>142.45014245013999</v>
      </c>
      <c r="L148" s="19">
        <v>130.57929724595999</v>
      </c>
      <c r="M148" s="19">
        <v>166.19183285849999</v>
      </c>
      <c r="N148">
        <f t="shared" si="65"/>
        <v>21.874999999999183</v>
      </c>
      <c r="O148">
        <f t="shared" si="62"/>
        <v>24.999999999999567</v>
      </c>
      <c r="P148">
        <f t="shared" si="63"/>
        <v>22.916666666665975</v>
      </c>
      <c r="Q148">
        <f t="shared" si="64"/>
        <v>29.166666666666742</v>
      </c>
      <c r="S148" s="27">
        <v>112.29989999999999</v>
      </c>
      <c r="T148" s="27">
        <v>117.4044</v>
      </c>
      <c r="U148" s="27">
        <v>122.509</v>
      </c>
      <c r="V148" s="27">
        <v>137.82259999999999</v>
      </c>
      <c r="W148" s="27">
        <v>22.91667</v>
      </c>
      <c r="X148" s="27">
        <v>23.95833</v>
      </c>
      <c r="Y148" s="27">
        <v>25</v>
      </c>
      <c r="Z148" s="27">
        <v>28.125</v>
      </c>
      <c r="AB148">
        <v>195.94933533985429</v>
      </c>
      <c r="AC148">
        <v>180.27338851266629</v>
      </c>
      <c r="AD148">
        <v>188.11136192626051</v>
      </c>
      <c r="AE148">
        <v>211.6252821670428</v>
      </c>
      <c r="AF148">
        <v>26.041666666666639</v>
      </c>
      <c r="AG148">
        <v>23.95833333333335</v>
      </c>
      <c r="AH148">
        <v>25.000000000000021</v>
      </c>
      <c r="AI148">
        <v>28.124999999999979</v>
      </c>
      <c r="AK148">
        <v>153.84615384615381</v>
      </c>
      <c r="AL148">
        <v>153.84615384615401</v>
      </c>
      <c r="AM148">
        <v>168.26923076923089</v>
      </c>
      <c r="AO148">
        <v>33.333333333333329</v>
      </c>
      <c r="AP148">
        <v>33.333333333333378</v>
      </c>
      <c r="AQ148">
        <v>36.458333333333371</v>
      </c>
    </row>
    <row r="149" spans="1:44" ht="17" x14ac:dyDescent="0.2">
      <c r="A149">
        <v>120.87805821487289</v>
      </c>
      <c r="B149">
        <v>151.09757276859091</v>
      </c>
      <c r="C149">
        <v>157.14147567933469</v>
      </c>
      <c r="D149">
        <v>157.14147567933469</v>
      </c>
      <c r="E149">
        <v>20.83333333333335</v>
      </c>
      <c r="F149">
        <v>26.041666666666639</v>
      </c>
      <c r="G149">
        <v>27.083333333333329</v>
      </c>
      <c r="H149">
        <v>27.083333333333329</v>
      </c>
      <c r="J149" s="19">
        <v>124.64387464387001</v>
      </c>
      <c r="K149" s="19">
        <v>142.45014245013999</v>
      </c>
      <c r="L149" s="19">
        <v>136.51471984804999</v>
      </c>
      <c r="M149" s="19">
        <v>142.45014245013999</v>
      </c>
      <c r="N149">
        <f t="shared" si="65"/>
        <v>21.874999999999183</v>
      </c>
      <c r="O149">
        <f t="shared" si="62"/>
        <v>24.999999999999567</v>
      </c>
      <c r="P149">
        <f t="shared" si="63"/>
        <v>23.958333333332771</v>
      </c>
      <c r="Q149">
        <f t="shared" si="64"/>
        <v>24.999999999999567</v>
      </c>
      <c r="S149" s="27">
        <v>96.986279999999994</v>
      </c>
      <c r="T149" s="27">
        <v>137.82259999999999</v>
      </c>
      <c r="U149" s="27">
        <v>102.0908</v>
      </c>
      <c r="V149" s="27">
        <v>158.24080000000001</v>
      </c>
      <c r="W149" s="27">
        <v>19.79167</v>
      </c>
      <c r="X149" s="27">
        <v>28.125</v>
      </c>
      <c r="Y149" s="27">
        <v>20.83333</v>
      </c>
      <c r="Z149" s="27">
        <v>32.291670000000003</v>
      </c>
      <c r="AB149">
        <v>203.78730875344851</v>
      </c>
      <c r="AC149">
        <v>156.75946827188361</v>
      </c>
      <c r="AD149">
        <v>211.6252821670432</v>
      </c>
      <c r="AE149">
        <v>188.11136192626051</v>
      </c>
      <c r="AF149">
        <v>27.083333333333311</v>
      </c>
      <c r="AG149">
        <v>20.833333333333339</v>
      </c>
      <c r="AH149">
        <v>28.12500000000005</v>
      </c>
      <c r="AI149">
        <v>25.000000000000021</v>
      </c>
      <c r="AK149">
        <v>177.88461538461519</v>
      </c>
      <c r="AL149">
        <v>134.61538461538481</v>
      </c>
      <c r="AM149">
        <v>134.61538461538481</v>
      </c>
      <c r="AO149">
        <v>38.541666666666643</v>
      </c>
      <c r="AP149">
        <v>29.1666666666667</v>
      </c>
      <c r="AQ149">
        <v>29.1666666666667</v>
      </c>
    </row>
    <row r="150" spans="1:44" ht="17" x14ac:dyDescent="0.2">
      <c r="A150">
        <v>126.9219611256167</v>
      </c>
      <c r="B150">
        <v>139.0097669471038</v>
      </c>
      <c r="C150">
        <v>145.05366985784761</v>
      </c>
      <c r="D150">
        <v>169.2292815008218</v>
      </c>
      <c r="E150">
        <v>21.875000000000039</v>
      </c>
      <c r="F150">
        <v>23.958333333333339</v>
      </c>
      <c r="G150">
        <v>25.000000000000028</v>
      </c>
      <c r="H150">
        <v>29.166666666666639</v>
      </c>
      <c r="J150" s="19">
        <v>154.32098765431999</v>
      </c>
      <c r="K150" s="19">
        <v>112.7730294397</v>
      </c>
      <c r="L150" s="19">
        <v>160.25641025640999</v>
      </c>
      <c r="M150" s="19">
        <v>160.25641025640999</v>
      </c>
      <c r="N150">
        <f t="shared" si="65"/>
        <v>27.083333333333158</v>
      </c>
      <c r="O150">
        <f t="shared" si="62"/>
        <v>19.79166666666735</v>
      </c>
      <c r="P150">
        <f t="shared" si="63"/>
        <v>28.12499999999995</v>
      </c>
      <c r="Q150">
        <f t="shared" si="64"/>
        <v>28.12499999999995</v>
      </c>
      <c r="S150" s="27">
        <v>112.29989999999999</v>
      </c>
      <c r="T150" s="27">
        <v>112.29989999999999</v>
      </c>
      <c r="U150" s="27">
        <v>137.82259999999999</v>
      </c>
      <c r="V150" s="27">
        <v>148.0317</v>
      </c>
      <c r="W150" s="27">
        <v>22.91667</v>
      </c>
      <c r="X150" s="27">
        <v>22.91667</v>
      </c>
      <c r="Y150" s="27">
        <v>28.125</v>
      </c>
      <c r="Z150" s="27">
        <v>30.20833</v>
      </c>
      <c r="AB150">
        <v>188.11136192626051</v>
      </c>
      <c r="AC150">
        <v>188.11136192626051</v>
      </c>
      <c r="AD150">
        <v>180.27338851266629</v>
      </c>
      <c r="AE150">
        <v>195.9493353398548</v>
      </c>
      <c r="AF150">
        <v>25.000000000000021</v>
      </c>
      <c r="AG150">
        <v>25.000000000000021</v>
      </c>
      <c r="AH150">
        <v>23.95833333333335</v>
      </c>
      <c r="AI150">
        <v>26.0416666666667</v>
      </c>
      <c r="AK150">
        <v>139.4230769230771</v>
      </c>
      <c r="AL150">
        <v>96.153846153846189</v>
      </c>
      <c r="AM150">
        <v>100.96153846153859</v>
      </c>
      <c r="AN150">
        <v>129.80769230769241</v>
      </c>
      <c r="AO150">
        <v>30.208333333333371</v>
      </c>
      <c r="AP150">
        <v>20.833333333333339</v>
      </c>
      <c r="AQ150">
        <v>21.875000000000021</v>
      </c>
      <c r="AR150">
        <v>28.125000000000021</v>
      </c>
    </row>
    <row r="151" spans="1:44" ht="17" x14ac:dyDescent="0.2">
      <c r="A151">
        <v>108.7902523933853</v>
      </c>
      <c r="B151">
        <v>157.14147567933469</v>
      </c>
      <c r="C151">
        <v>151.09757276859091</v>
      </c>
      <c r="D151">
        <v>157.14147567933469</v>
      </c>
      <c r="E151">
        <v>18.749999999999961</v>
      </c>
      <c r="F151">
        <v>27.083333333333329</v>
      </c>
      <c r="G151">
        <v>26.041666666666639</v>
      </c>
      <c r="H151">
        <v>27.083333333333329</v>
      </c>
      <c r="J151" s="19">
        <v>136.51471984804999</v>
      </c>
      <c r="K151" s="19">
        <v>118.70845204179</v>
      </c>
      <c r="L151" s="19">
        <v>142.45014245013999</v>
      </c>
      <c r="M151" s="19">
        <v>154.32098765431999</v>
      </c>
      <c r="N151">
        <f t="shared" si="65"/>
        <v>23.958333333332771</v>
      </c>
      <c r="O151">
        <f t="shared" si="62"/>
        <v>20.833333333334142</v>
      </c>
      <c r="P151">
        <f t="shared" si="63"/>
        <v>24.999999999999567</v>
      </c>
      <c r="Q151">
        <f t="shared" si="64"/>
        <v>27.083333333333158</v>
      </c>
      <c r="S151" s="27">
        <v>91.881739999999994</v>
      </c>
      <c r="T151" s="27">
        <v>122.509</v>
      </c>
      <c r="U151" s="27">
        <v>132.71809999999999</v>
      </c>
      <c r="V151" s="27">
        <v>127.6135</v>
      </c>
      <c r="W151" s="27">
        <v>18.75</v>
      </c>
      <c r="X151" s="27">
        <v>25</v>
      </c>
      <c r="Y151" s="27">
        <v>27.08333</v>
      </c>
      <c r="Z151" s="27">
        <v>26.04167</v>
      </c>
      <c r="AB151">
        <v>188.11136192626051</v>
      </c>
      <c r="AC151">
        <v>172.43541509907209</v>
      </c>
      <c r="AD151">
        <v>172.43541509907209</v>
      </c>
      <c r="AE151">
        <v>211.6252821670432</v>
      </c>
      <c r="AF151">
        <v>25.000000000000021</v>
      </c>
      <c r="AG151">
        <v>22.916666666666679</v>
      </c>
      <c r="AH151">
        <v>22.916666666666679</v>
      </c>
      <c r="AI151">
        <v>28.12500000000005</v>
      </c>
      <c r="AK151">
        <v>149.03846153846141</v>
      </c>
      <c r="AL151">
        <v>76.923076923077133</v>
      </c>
      <c r="AM151">
        <v>76.923076923077133</v>
      </c>
      <c r="AN151">
        <v>153.84615384615381</v>
      </c>
      <c r="AO151">
        <v>32.291666666666643</v>
      </c>
      <c r="AP151">
        <v>16.66666666666671</v>
      </c>
      <c r="AQ151">
        <v>16.66666666666671</v>
      </c>
      <c r="AR151">
        <v>33.333333333333329</v>
      </c>
    </row>
    <row r="152" spans="1:44" ht="17" x14ac:dyDescent="0.2">
      <c r="A152">
        <v>163.1853785900785</v>
      </c>
      <c r="B152">
        <v>108.7902523933853</v>
      </c>
      <c r="C152">
        <v>169.22928150082231</v>
      </c>
      <c r="D152">
        <v>139.00976694710329</v>
      </c>
      <c r="E152">
        <v>28.125000000000021</v>
      </c>
      <c r="F152">
        <v>18.749999999999961</v>
      </c>
      <c r="G152">
        <v>29.16666666666671</v>
      </c>
      <c r="H152">
        <v>23.958333333333261</v>
      </c>
      <c r="J152" s="19">
        <v>142.45014245013999</v>
      </c>
      <c r="K152" s="19">
        <v>130.57929724595999</v>
      </c>
      <c r="L152" s="19">
        <v>130.57929724595999</v>
      </c>
      <c r="M152" s="19">
        <v>166.19183285849999</v>
      </c>
      <c r="N152">
        <f t="shared" si="65"/>
        <v>24.999999999999567</v>
      </c>
      <c r="O152">
        <f t="shared" si="62"/>
        <v>22.916666666665975</v>
      </c>
      <c r="P152">
        <f t="shared" si="63"/>
        <v>22.916666666665975</v>
      </c>
      <c r="Q152">
        <f t="shared" si="64"/>
        <v>29.166666666666742</v>
      </c>
      <c r="S152" s="27">
        <v>107.19540000000001</v>
      </c>
      <c r="T152" s="27">
        <v>127.6135</v>
      </c>
      <c r="U152" s="27">
        <v>112.29989999999999</v>
      </c>
      <c r="V152" s="27">
        <v>137.82259999999999</v>
      </c>
      <c r="W152" s="27">
        <v>21.875</v>
      </c>
      <c r="X152" s="27">
        <v>26.04167</v>
      </c>
      <c r="Y152" s="27">
        <v>22.91667</v>
      </c>
      <c r="Z152" s="27">
        <v>28.125</v>
      </c>
      <c r="AB152">
        <v>203.787308753449</v>
      </c>
      <c r="AC152">
        <v>188.11136192626051</v>
      </c>
      <c r="AD152">
        <v>188.11136192626051</v>
      </c>
      <c r="AE152">
        <v>195.9493353398548</v>
      </c>
      <c r="AF152">
        <v>27.083333333333371</v>
      </c>
      <c r="AG152">
        <v>25.000000000000021</v>
      </c>
      <c r="AH152">
        <v>25.000000000000021</v>
      </c>
      <c r="AI152">
        <v>26.0416666666667</v>
      </c>
      <c r="AK152">
        <v>153.84615384615381</v>
      </c>
      <c r="AL152">
        <v>153.84615384615381</v>
      </c>
      <c r="AM152">
        <v>177.88461538461519</v>
      </c>
      <c r="AO152">
        <v>33.333333333333329</v>
      </c>
      <c r="AP152">
        <v>33.333333333333329</v>
      </c>
      <c r="AQ152">
        <v>38.541666666666643</v>
      </c>
    </row>
    <row r="153" spans="1:44" ht="17" x14ac:dyDescent="0.2">
      <c r="A153">
        <v>132.9658640363605</v>
      </c>
      <c r="B153">
        <v>132.9658640363605</v>
      </c>
      <c r="C153">
        <v>169.22928150082231</v>
      </c>
      <c r="D153">
        <v>151.09757276859091</v>
      </c>
      <c r="E153">
        <v>22.916666666666721</v>
      </c>
      <c r="F153">
        <v>22.916666666666721</v>
      </c>
      <c r="G153">
        <v>29.16666666666671</v>
      </c>
      <c r="H153">
        <v>26.041666666666639</v>
      </c>
      <c r="J153" s="19">
        <v>130.57929724595999</v>
      </c>
      <c r="K153" s="19">
        <v>142.45014245013999</v>
      </c>
      <c r="L153" s="19">
        <v>148.38556505222999</v>
      </c>
      <c r="M153" s="19">
        <v>142.45014245013999</v>
      </c>
      <c r="N153">
        <f t="shared" si="65"/>
        <v>22.916666666665975</v>
      </c>
      <c r="O153">
        <f t="shared" si="62"/>
        <v>24.999999999999567</v>
      </c>
      <c r="P153">
        <f t="shared" si="63"/>
        <v>26.041666666666362</v>
      </c>
      <c r="Q153">
        <f t="shared" si="64"/>
        <v>24.999999999999567</v>
      </c>
      <c r="S153" s="27">
        <v>96.986279999999994</v>
      </c>
      <c r="T153" s="27">
        <v>137.82259999999999</v>
      </c>
      <c r="U153" s="27">
        <v>127.6135</v>
      </c>
      <c r="V153" s="27">
        <v>127.6135</v>
      </c>
      <c r="W153" s="27">
        <v>19.79167</v>
      </c>
      <c r="X153" s="27">
        <v>28.125</v>
      </c>
      <c r="Y153" s="27">
        <v>26.04167</v>
      </c>
      <c r="Z153" s="27">
        <v>26.04167</v>
      </c>
      <c r="AB153">
        <v>164.59744168547789</v>
      </c>
      <c r="AC153">
        <v>195.9493353398548</v>
      </c>
      <c r="AD153">
        <v>180.27338851266629</v>
      </c>
      <c r="AE153">
        <v>203.787308753449</v>
      </c>
      <c r="AF153">
        <v>21.875000000000011</v>
      </c>
      <c r="AG153">
        <v>26.0416666666667</v>
      </c>
      <c r="AH153">
        <v>23.95833333333335</v>
      </c>
      <c r="AI153">
        <v>27.083333333333371</v>
      </c>
      <c r="AK153">
        <v>168.26923076923049</v>
      </c>
      <c r="AL153">
        <v>134.61538461538481</v>
      </c>
      <c r="AM153">
        <v>134.61538461538481</v>
      </c>
      <c r="AO153">
        <v>36.458333333333272</v>
      </c>
      <c r="AP153">
        <v>29.1666666666667</v>
      </c>
      <c r="AQ153">
        <v>29.1666666666667</v>
      </c>
    </row>
    <row r="154" spans="1:44" ht="17" x14ac:dyDescent="0.2">
      <c r="A154">
        <v>126.9219611256167</v>
      </c>
      <c r="B154">
        <v>132.9658640363605</v>
      </c>
      <c r="C154">
        <v>169.22928150082231</v>
      </c>
      <c r="D154">
        <v>145.0536698578471</v>
      </c>
      <c r="E154">
        <v>21.875000000000039</v>
      </c>
      <c r="F154">
        <v>22.916666666666721</v>
      </c>
      <c r="G154">
        <v>29.16666666666671</v>
      </c>
      <c r="H154">
        <v>24.99999999999995</v>
      </c>
      <c r="J154" s="19">
        <v>136.51471984804999</v>
      </c>
      <c r="K154" s="19">
        <v>118.70845204179</v>
      </c>
      <c r="L154" s="19">
        <v>160.25641025640999</v>
      </c>
      <c r="M154" s="19">
        <v>166.19183285849999</v>
      </c>
      <c r="N154">
        <f t="shared" si="65"/>
        <v>23.958333333332771</v>
      </c>
      <c r="O154">
        <f t="shared" si="62"/>
        <v>20.833333333334142</v>
      </c>
      <c r="P154">
        <f t="shared" si="63"/>
        <v>28.12499999999995</v>
      </c>
      <c r="Q154">
        <f t="shared" si="64"/>
        <v>29.166666666666742</v>
      </c>
      <c r="S154" s="27">
        <v>117.4044</v>
      </c>
      <c r="T154" s="27">
        <v>122.509</v>
      </c>
      <c r="U154" s="27">
        <v>117.4044</v>
      </c>
      <c r="V154" s="27">
        <v>142.9271</v>
      </c>
      <c r="W154" s="27">
        <v>23.95833</v>
      </c>
      <c r="X154" s="27">
        <v>25</v>
      </c>
      <c r="Y154" s="27">
        <v>23.95833</v>
      </c>
      <c r="Z154" s="27">
        <v>29.16667</v>
      </c>
      <c r="AB154">
        <v>156.75946827188361</v>
      </c>
      <c r="AC154">
        <v>188.11136192626051</v>
      </c>
      <c r="AD154">
        <v>164.59744168547789</v>
      </c>
      <c r="AE154">
        <v>180.27338851266629</v>
      </c>
      <c r="AF154">
        <v>20.833333333333339</v>
      </c>
      <c r="AG154">
        <v>25.000000000000021</v>
      </c>
      <c r="AH154">
        <v>21.875000000000011</v>
      </c>
      <c r="AI154">
        <v>23.95833333333335</v>
      </c>
      <c r="AK154">
        <v>120.19230769230759</v>
      </c>
      <c r="AL154">
        <v>120.19230769230759</v>
      </c>
      <c r="AM154">
        <v>110.5769230769229</v>
      </c>
      <c r="AN154">
        <v>115.3846153846152</v>
      </c>
      <c r="AO154">
        <v>26.04166666666665</v>
      </c>
      <c r="AP154">
        <v>26.04166666666665</v>
      </c>
      <c r="AQ154">
        <v>23.95833333333329</v>
      </c>
      <c r="AR154">
        <v>24.999999999999972</v>
      </c>
    </row>
    <row r="155" spans="1:44" ht="17" x14ac:dyDescent="0.2">
      <c r="A155">
        <v>120.87805821487289</v>
      </c>
      <c r="B155">
        <v>145.0536698578471</v>
      </c>
      <c r="C155">
        <v>157.14147567933469</v>
      </c>
      <c r="D155">
        <v>151.09757276859091</v>
      </c>
      <c r="E155">
        <v>20.83333333333335</v>
      </c>
      <c r="F155">
        <v>24.99999999999995</v>
      </c>
      <c r="G155">
        <v>27.083333333333329</v>
      </c>
      <c r="H155">
        <v>26.041666666666639</v>
      </c>
      <c r="J155" s="19">
        <v>118.70845204179</v>
      </c>
      <c r="K155" s="19">
        <v>136.51471984804999</v>
      </c>
      <c r="L155" s="19">
        <v>142.45014245013999</v>
      </c>
      <c r="M155" s="19">
        <v>160.25641025640999</v>
      </c>
      <c r="N155">
        <f t="shared" si="65"/>
        <v>20.833333333334142</v>
      </c>
      <c r="O155">
        <f t="shared" si="62"/>
        <v>23.958333333332771</v>
      </c>
      <c r="P155">
        <f t="shared" si="63"/>
        <v>24.999999999999567</v>
      </c>
      <c r="Q155">
        <f t="shared" si="64"/>
        <v>28.12499999999995</v>
      </c>
      <c r="S155" s="27">
        <v>102.0908</v>
      </c>
      <c r="T155" s="27">
        <v>122.509</v>
      </c>
      <c r="U155" s="27">
        <v>142.9271</v>
      </c>
      <c r="V155" s="27">
        <v>117.4044</v>
      </c>
      <c r="W155" s="27">
        <v>20.83333</v>
      </c>
      <c r="X155" s="27">
        <v>25</v>
      </c>
      <c r="Y155" s="27">
        <v>29.16667</v>
      </c>
      <c r="Z155" s="27">
        <v>23.95833</v>
      </c>
      <c r="AB155">
        <v>188.1113619262596</v>
      </c>
      <c r="AC155">
        <v>188.1113619262596</v>
      </c>
      <c r="AD155">
        <v>164.59744168547701</v>
      </c>
      <c r="AE155">
        <v>219.46325558063651</v>
      </c>
      <c r="AF155">
        <v>24.999999999999901</v>
      </c>
      <c r="AG155">
        <v>24.999999999999901</v>
      </c>
      <c r="AH155">
        <v>21.87499999999989</v>
      </c>
      <c r="AI155">
        <v>29.1666666666666</v>
      </c>
      <c r="AK155">
        <v>149.03846153846189</v>
      </c>
      <c r="AL155">
        <v>76.923076923077133</v>
      </c>
      <c r="AM155">
        <v>76.923076923077133</v>
      </c>
      <c r="AN155">
        <v>153.84615384615429</v>
      </c>
      <c r="AO155">
        <v>32.291666666666742</v>
      </c>
      <c r="AP155">
        <v>16.66666666666671</v>
      </c>
      <c r="AQ155">
        <v>16.66666666666671</v>
      </c>
      <c r="AR155">
        <v>33.333333333333428</v>
      </c>
    </row>
    <row r="156" spans="1:44" ht="17" x14ac:dyDescent="0.2">
      <c r="A156">
        <v>132.9658640363605</v>
      </c>
      <c r="B156">
        <v>139.00976694710329</v>
      </c>
      <c r="C156">
        <v>157.14147567933469</v>
      </c>
      <c r="D156">
        <v>163.1853785900785</v>
      </c>
      <c r="E156">
        <v>22.916666666666721</v>
      </c>
      <c r="F156">
        <v>23.958333333333261</v>
      </c>
      <c r="G156">
        <v>27.083333333333329</v>
      </c>
      <c r="H156">
        <v>28.125000000000021</v>
      </c>
      <c r="J156" s="19">
        <v>148.38556505222999</v>
      </c>
      <c r="K156" s="19">
        <v>118.70845204179</v>
      </c>
      <c r="L156" s="19">
        <v>124.64387464387001</v>
      </c>
      <c r="M156" s="19">
        <v>172.12725546058999</v>
      </c>
      <c r="N156">
        <f t="shared" si="65"/>
        <v>26.041666666666362</v>
      </c>
      <c r="O156">
        <f t="shared" si="62"/>
        <v>20.833333333334142</v>
      </c>
      <c r="P156">
        <f t="shared" si="63"/>
        <v>21.874999999999183</v>
      </c>
      <c r="Q156">
        <f t="shared" si="64"/>
        <v>30.208333333333538</v>
      </c>
      <c r="S156" s="27">
        <v>122.509</v>
      </c>
      <c r="T156" s="27">
        <v>112.29989999999999</v>
      </c>
      <c r="U156" s="27">
        <v>112.29989999999999</v>
      </c>
      <c r="V156" s="27">
        <v>142.9271</v>
      </c>
      <c r="W156" s="27">
        <v>25</v>
      </c>
      <c r="X156" s="27">
        <v>22.91667</v>
      </c>
      <c r="Y156" s="27">
        <v>22.91667</v>
      </c>
      <c r="Z156" s="27">
        <v>29.16667</v>
      </c>
      <c r="AB156">
        <v>156.75946827188449</v>
      </c>
      <c r="AC156">
        <v>195.94933533985389</v>
      </c>
      <c r="AD156">
        <v>180.27338851266541</v>
      </c>
      <c r="AE156">
        <v>203.78730875344809</v>
      </c>
      <c r="AF156">
        <v>20.83333333333346</v>
      </c>
      <c r="AG156">
        <v>26.041666666666579</v>
      </c>
      <c r="AH156">
        <v>23.958333333333229</v>
      </c>
      <c r="AI156">
        <v>27.08333333333325</v>
      </c>
      <c r="AK156">
        <v>153.84615384615429</v>
      </c>
      <c r="AL156">
        <v>153.84615384615429</v>
      </c>
      <c r="AM156">
        <v>168.26923076923049</v>
      </c>
      <c r="AO156">
        <v>33.333333333333428</v>
      </c>
      <c r="AP156">
        <v>33.333333333333428</v>
      </c>
      <c r="AQ156">
        <v>36.458333333333272</v>
      </c>
    </row>
    <row r="157" spans="1:44" ht="17" x14ac:dyDescent="0.2">
      <c r="A157">
        <v>132.9658640363605</v>
      </c>
      <c r="B157">
        <v>132.9658640363605</v>
      </c>
      <c r="C157">
        <v>163.1853785900785</v>
      </c>
      <c r="D157">
        <v>139.00976694710329</v>
      </c>
      <c r="E157">
        <v>22.916666666666721</v>
      </c>
      <c r="F157">
        <v>22.916666666666721</v>
      </c>
      <c r="G157">
        <v>28.125000000000021</v>
      </c>
      <c r="H157">
        <v>23.958333333333261</v>
      </c>
      <c r="J157" s="19">
        <v>136.51471984804999</v>
      </c>
      <c r="K157" s="19">
        <v>112.7730294397</v>
      </c>
      <c r="L157" s="19">
        <v>166.19183285849999</v>
      </c>
      <c r="M157" s="19">
        <v>183.99810066476999</v>
      </c>
      <c r="N157">
        <f t="shared" si="65"/>
        <v>23.958333333332771</v>
      </c>
      <c r="O157">
        <f t="shared" si="62"/>
        <v>19.79166666666735</v>
      </c>
      <c r="P157">
        <f t="shared" si="63"/>
        <v>29.166666666666742</v>
      </c>
      <c r="Q157">
        <f t="shared" si="64"/>
        <v>32.291666666667133</v>
      </c>
      <c r="S157" s="27">
        <v>107.19540000000001</v>
      </c>
      <c r="T157" s="27">
        <v>122.509</v>
      </c>
      <c r="U157" s="27">
        <v>122.509</v>
      </c>
      <c r="V157" s="27">
        <v>132.71809999999999</v>
      </c>
      <c r="W157" s="27">
        <v>21.875</v>
      </c>
      <c r="X157" s="27">
        <v>25</v>
      </c>
      <c r="Y157" s="27">
        <v>25</v>
      </c>
      <c r="Z157" s="27">
        <v>27.08333</v>
      </c>
      <c r="AB157">
        <v>172.43541509907121</v>
      </c>
      <c r="AC157">
        <v>180.27338851266541</v>
      </c>
      <c r="AD157">
        <v>180.27338851266541</v>
      </c>
      <c r="AE157">
        <v>188.1113619262596</v>
      </c>
      <c r="AF157">
        <v>22.916666666666561</v>
      </c>
      <c r="AG157">
        <v>23.958333333333229</v>
      </c>
      <c r="AH157">
        <v>23.958333333333229</v>
      </c>
      <c r="AI157">
        <v>24.999999999999901</v>
      </c>
      <c r="AK157">
        <v>177.88461538461519</v>
      </c>
      <c r="AL157">
        <v>134.61538461538481</v>
      </c>
      <c r="AM157">
        <v>134.61538461538481</v>
      </c>
      <c r="AO157">
        <v>38.541666666666643</v>
      </c>
      <c r="AP157">
        <v>29.1666666666667</v>
      </c>
      <c r="AQ157">
        <v>29.1666666666667</v>
      </c>
    </row>
    <row r="158" spans="1:44" ht="17" x14ac:dyDescent="0.2">
      <c r="A158">
        <v>169.22928150082129</v>
      </c>
      <c r="B158">
        <v>108.7902523933863</v>
      </c>
      <c r="C158">
        <v>157.14147567933469</v>
      </c>
      <c r="D158">
        <v>157.14147567933469</v>
      </c>
      <c r="E158">
        <v>29.166666666666561</v>
      </c>
      <c r="F158">
        <v>18.750000000000121</v>
      </c>
      <c r="G158">
        <v>27.083333333333329</v>
      </c>
      <c r="H158">
        <v>27.083333333333329</v>
      </c>
      <c r="J158" s="19">
        <v>106.83760683761</v>
      </c>
      <c r="K158" s="19">
        <v>136.51471984804999</v>
      </c>
      <c r="L158" s="19">
        <v>142.45014245013999</v>
      </c>
      <c r="M158" s="19">
        <v>154.32098765431999</v>
      </c>
      <c r="N158">
        <f t="shared" si="65"/>
        <v>18.750000000000554</v>
      </c>
      <c r="O158">
        <f t="shared" si="62"/>
        <v>23.958333333332771</v>
      </c>
      <c r="P158">
        <f t="shared" si="63"/>
        <v>24.999999999999567</v>
      </c>
      <c r="Q158">
        <f t="shared" si="64"/>
        <v>27.083333333333158</v>
      </c>
      <c r="S158" s="27">
        <v>117.4044</v>
      </c>
      <c r="T158" s="27">
        <v>117.4044</v>
      </c>
      <c r="U158" s="27">
        <v>122.509</v>
      </c>
      <c r="V158" s="27">
        <v>142.9271</v>
      </c>
      <c r="W158" s="27">
        <v>23.95833</v>
      </c>
      <c r="X158" s="27">
        <v>23.95833</v>
      </c>
      <c r="Y158" s="27">
        <v>25</v>
      </c>
      <c r="Z158" s="27">
        <v>29.16667</v>
      </c>
      <c r="AB158">
        <v>172.43541509907121</v>
      </c>
      <c r="AC158">
        <v>195.94933533985389</v>
      </c>
      <c r="AD158">
        <v>188.1113619262596</v>
      </c>
      <c r="AE158">
        <v>211.62528216704229</v>
      </c>
      <c r="AF158">
        <v>22.916666666666561</v>
      </c>
      <c r="AG158">
        <v>26.041666666666579</v>
      </c>
      <c r="AH158">
        <v>24.999999999999901</v>
      </c>
      <c r="AI158">
        <v>28.124999999999929</v>
      </c>
      <c r="AK158">
        <v>139.4230769230771</v>
      </c>
      <c r="AL158">
        <v>96.153846153845734</v>
      </c>
      <c r="AM158">
        <v>100.9615384615381</v>
      </c>
      <c r="AN158">
        <v>129.80769230769241</v>
      </c>
      <c r="AO158">
        <v>30.208333333333371</v>
      </c>
      <c r="AP158">
        <v>20.83333333333324</v>
      </c>
      <c r="AQ158">
        <v>21.874999999999929</v>
      </c>
      <c r="AR158">
        <v>28.125000000000021</v>
      </c>
    </row>
    <row r="159" spans="1:44" ht="17" x14ac:dyDescent="0.2">
      <c r="A159">
        <v>126.92196112561579</v>
      </c>
      <c r="B159">
        <v>126.92196112561579</v>
      </c>
      <c r="C159">
        <v>193.40489314379741</v>
      </c>
      <c r="D159">
        <v>120.878058214872</v>
      </c>
      <c r="E159">
        <v>21.874999999999879</v>
      </c>
      <c r="F159">
        <v>21.874999999999879</v>
      </c>
      <c r="G159">
        <v>33.333333333333478</v>
      </c>
      <c r="H159">
        <v>20.83333333333319</v>
      </c>
      <c r="J159" s="19">
        <v>154.32098765431999</v>
      </c>
      <c r="K159" s="19">
        <v>112.7730294397</v>
      </c>
      <c r="L159" s="19">
        <v>136.51471984804999</v>
      </c>
      <c r="M159" s="19">
        <v>166.19183285849999</v>
      </c>
      <c r="N159">
        <f t="shared" si="65"/>
        <v>27.083333333333158</v>
      </c>
      <c r="O159">
        <f t="shared" si="62"/>
        <v>19.79166666666735</v>
      </c>
      <c r="P159">
        <f t="shared" si="63"/>
        <v>23.958333333332771</v>
      </c>
      <c r="Q159">
        <f t="shared" si="64"/>
        <v>29.166666666666742</v>
      </c>
      <c r="S159" s="27">
        <v>91.881739999999994</v>
      </c>
      <c r="T159" s="27">
        <v>107.19540000000001</v>
      </c>
      <c r="U159" s="27">
        <v>153.1362</v>
      </c>
      <c r="V159" s="27">
        <v>117.4044</v>
      </c>
      <c r="W159" s="27">
        <v>18.75</v>
      </c>
      <c r="X159" s="27">
        <v>21.875</v>
      </c>
      <c r="Y159" s="27">
        <v>31.25</v>
      </c>
      <c r="Z159" s="27">
        <v>23.95833</v>
      </c>
      <c r="AB159">
        <v>180.27338851266541</v>
      </c>
      <c r="AC159">
        <v>164.59744168547701</v>
      </c>
      <c r="AD159">
        <v>180.27338851266541</v>
      </c>
      <c r="AE159">
        <v>203.78730875345721</v>
      </c>
      <c r="AF159">
        <v>23.958333333333229</v>
      </c>
      <c r="AG159">
        <v>21.87499999999989</v>
      </c>
      <c r="AH159">
        <v>23.958333333333229</v>
      </c>
      <c r="AI159">
        <v>27.083333333334458</v>
      </c>
      <c r="AK159">
        <v>149.03846153846189</v>
      </c>
      <c r="AL159">
        <v>76.923076923077133</v>
      </c>
      <c r="AM159">
        <v>76.923076923077133</v>
      </c>
      <c r="AN159">
        <v>153.84615384615151</v>
      </c>
      <c r="AO159">
        <v>32.291666666666742</v>
      </c>
      <c r="AP159">
        <v>16.66666666666671</v>
      </c>
      <c r="AQ159">
        <v>16.66666666666671</v>
      </c>
      <c r="AR159">
        <v>33.333333333332831</v>
      </c>
    </row>
    <row r="160" spans="1:44" ht="31" x14ac:dyDescent="0.35">
      <c r="A160" s="3"/>
      <c r="M160" s="21"/>
      <c r="N160" s="20"/>
      <c r="O160" s="20"/>
      <c r="P160" s="20"/>
      <c r="Q160" s="20"/>
    </row>
    <row r="161" spans="1:44" ht="31" x14ac:dyDescent="0.35">
      <c r="A161" s="12" t="s">
        <v>53</v>
      </c>
      <c r="B161" s="13"/>
      <c r="C161" s="13"/>
      <c r="D161" s="13"/>
      <c r="E161" s="13"/>
      <c r="F161" s="13"/>
      <c r="G161" s="13"/>
      <c r="H161" s="13"/>
      <c r="J161" s="9" t="s">
        <v>26</v>
      </c>
      <c r="K161" s="10"/>
      <c r="L161" s="10"/>
      <c r="M161" s="10"/>
      <c r="N161" s="10"/>
      <c r="O161" s="10"/>
      <c r="P161" s="10"/>
      <c r="Q161" s="10"/>
      <c r="S161" s="1" t="s">
        <v>114</v>
      </c>
      <c r="T161" s="2"/>
      <c r="U161" s="2"/>
      <c r="V161" s="2"/>
      <c r="W161" s="2"/>
      <c r="X161" s="2"/>
      <c r="Y161" s="2"/>
      <c r="Z161" s="2"/>
      <c r="AB161" s="14" t="s">
        <v>123</v>
      </c>
      <c r="AC161" s="15"/>
      <c r="AD161" s="15"/>
      <c r="AE161" s="15"/>
      <c r="AF161" s="15"/>
      <c r="AG161" s="15"/>
      <c r="AH161" s="15"/>
      <c r="AI161" s="15"/>
      <c r="AK161" s="16" t="s">
        <v>148</v>
      </c>
      <c r="AL161" s="17"/>
      <c r="AM161" s="17"/>
      <c r="AN161" s="17"/>
      <c r="AO161" s="17"/>
      <c r="AP161" s="17"/>
      <c r="AQ161" s="18"/>
      <c r="AR161" s="17"/>
    </row>
    <row r="162" spans="1:44" ht="31" x14ac:dyDescent="0.35">
      <c r="A162" s="3" t="s">
        <v>2</v>
      </c>
      <c r="E162" s="7"/>
      <c r="F162" s="6" t="s">
        <v>64</v>
      </c>
      <c r="G162" s="6"/>
      <c r="H162" s="6"/>
      <c r="J162" s="3" t="s">
        <v>2</v>
      </c>
      <c r="N162" s="23" t="s">
        <v>18</v>
      </c>
      <c r="O162" s="6" t="s">
        <v>25</v>
      </c>
      <c r="P162" s="6"/>
      <c r="Q162" s="6"/>
      <c r="S162" s="3" t="s">
        <v>2</v>
      </c>
      <c r="W162" s="23" t="s">
        <v>18</v>
      </c>
      <c r="X162" s="24" t="s">
        <v>92</v>
      </c>
      <c r="AB162" s="3" t="s">
        <v>2</v>
      </c>
      <c r="AF162" s="23" t="s">
        <v>18</v>
      </c>
      <c r="AG162" s="24" t="s">
        <v>124</v>
      </c>
      <c r="AH162" s="19"/>
      <c r="AI162" s="19"/>
      <c r="AK162" s="3" t="s">
        <v>2</v>
      </c>
      <c r="AO162" s="6" t="s">
        <v>3</v>
      </c>
      <c r="AP162" s="6" t="s">
        <v>147</v>
      </c>
      <c r="AQ162" s="6"/>
      <c r="AR162" s="6"/>
    </row>
    <row r="163" spans="1:44" x14ac:dyDescent="0.2">
      <c r="A163" s="7">
        <v>1</v>
      </c>
      <c r="B163" s="6">
        <v>2</v>
      </c>
      <c r="C163" s="6">
        <v>3</v>
      </c>
      <c r="D163" s="6">
        <v>4</v>
      </c>
      <c r="E163" s="7">
        <v>1</v>
      </c>
      <c r="F163" s="6">
        <v>2</v>
      </c>
      <c r="G163" s="6">
        <v>3</v>
      </c>
      <c r="H163" s="6">
        <v>4</v>
      </c>
      <c r="J163" s="7">
        <v>1</v>
      </c>
      <c r="K163" s="6">
        <v>2</v>
      </c>
      <c r="L163" s="6">
        <v>3</v>
      </c>
      <c r="M163" s="6">
        <v>4</v>
      </c>
      <c r="N163" s="7">
        <v>1</v>
      </c>
      <c r="O163" s="6">
        <v>2</v>
      </c>
      <c r="P163" s="6">
        <v>3</v>
      </c>
      <c r="Q163" s="6">
        <v>4</v>
      </c>
      <c r="S163" s="7">
        <v>1</v>
      </c>
      <c r="T163" s="6">
        <v>2</v>
      </c>
      <c r="U163" s="6">
        <v>3</v>
      </c>
      <c r="V163" s="6">
        <v>4</v>
      </c>
      <c r="W163" s="7">
        <v>1</v>
      </c>
      <c r="X163" s="6">
        <v>2</v>
      </c>
      <c r="Y163" s="6">
        <v>3</v>
      </c>
      <c r="Z163" s="6">
        <v>4</v>
      </c>
      <c r="AB163" s="7">
        <v>1</v>
      </c>
      <c r="AC163" s="6">
        <v>2</v>
      </c>
      <c r="AD163" s="6">
        <v>3</v>
      </c>
      <c r="AE163" s="6">
        <v>4</v>
      </c>
      <c r="AF163" s="7">
        <v>1</v>
      </c>
      <c r="AG163" s="6">
        <v>2</v>
      </c>
      <c r="AH163" s="6">
        <v>3</v>
      </c>
      <c r="AI163" s="6">
        <v>4</v>
      </c>
      <c r="AK163" s="7">
        <v>1</v>
      </c>
      <c r="AL163" s="6">
        <v>2</v>
      </c>
      <c r="AM163" s="6">
        <v>3</v>
      </c>
      <c r="AN163" s="6">
        <v>4</v>
      </c>
      <c r="AO163" s="7">
        <v>1</v>
      </c>
      <c r="AP163" s="6">
        <v>2</v>
      </c>
      <c r="AQ163" s="6">
        <v>3</v>
      </c>
      <c r="AR163" s="6">
        <v>4</v>
      </c>
    </row>
    <row r="164" spans="1:44" ht="17" x14ac:dyDescent="0.2">
      <c r="A164">
        <v>138.62102217936359</v>
      </c>
      <c r="B164">
        <v>138.62102217936359</v>
      </c>
      <c r="C164">
        <v>180.81002892960461</v>
      </c>
      <c r="D164">
        <v>132.5940212150434</v>
      </c>
      <c r="E164">
        <v>23.958333333333339</v>
      </c>
      <c r="F164">
        <v>23.958333333333339</v>
      </c>
      <c r="G164">
        <v>31.25</v>
      </c>
      <c r="H164">
        <v>22.916666666666661</v>
      </c>
      <c r="J164" s="19">
        <v>143.26647564469999</v>
      </c>
      <c r="K164" s="19">
        <v>119.38872970392001</v>
      </c>
      <c r="L164" s="19">
        <v>143.26647564469999</v>
      </c>
      <c r="M164" s="19">
        <v>161.17478510028999</v>
      </c>
      <c r="N164">
        <f>(J164*100)/(60/104.7*1000)</f>
        <v>25.000000000000149</v>
      </c>
      <c r="O164">
        <f t="shared" ref="O164:O179" si="66">(K164*100)/(60/104.7*1000)</f>
        <v>20.833333333334039</v>
      </c>
      <c r="P164">
        <f t="shared" ref="P164:P179" si="67">(L164*100)/(60/104.7*1000)</f>
        <v>25.000000000000149</v>
      </c>
      <c r="Q164">
        <f t="shared" ref="Q164:Q179" si="68">(M164*100)/(60/104.7*1000)</f>
        <v>28.125000000000604</v>
      </c>
      <c r="S164">
        <v>109.82428115015971</v>
      </c>
      <c r="T164">
        <v>104.832268370607</v>
      </c>
      <c r="U164">
        <v>139.77635782747601</v>
      </c>
      <c r="V164">
        <v>129.79233226837059</v>
      </c>
      <c r="W164">
        <v>22.916666666666671</v>
      </c>
      <c r="X164">
        <v>21.875</v>
      </c>
      <c r="Y164">
        <v>29.166666666666661</v>
      </c>
      <c r="Z164">
        <v>27.083333333333329</v>
      </c>
      <c r="AB164">
        <v>139.66480446927369</v>
      </c>
      <c r="AC164">
        <v>195.5307262569832</v>
      </c>
      <c r="AD164">
        <v>153.63128491620111</v>
      </c>
      <c r="AE164">
        <v>188.5474860335195</v>
      </c>
      <c r="AF164">
        <v>20.833333333333329</v>
      </c>
      <c r="AG164">
        <v>29.166666666666671</v>
      </c>
      <c r="AH164">
        <v>22.916666666666661</v>
      </c>
      <c r="AI164">
        <v>28.125</v>
      </c>
      <c r="AK164">
        <v>115.7407407407407</v>
      </c>
      <c r="AL164">
        <v>111.1111111111111</v>
      </c>
      <c r="AM164">
        <v>69.4444444444444</v>
      </c>
      <c r="AN164">
        <v>175.9259259259259</v>
      </c>
      <c r="AO164">
        <v>26.041666666666661</v>
      </c>
      <c r="AP164">
        <v>24.999999999999989</v>
      </c>
      <c r="AQ164">
        <v>15.624999999999989</v>
      </c>
      <c r="AR164">
        <v>39.583333333333329</v>
      </c>
    </row>
    <row r="165" spans="1:44" ht="17" x14ac:dyDescent="0.2">
      <c r="A165">
        <v>138.62102217936351</v>
      </c>
      <c r="B165">
        <v>138.62102217936351</v>
      </c>
      <c r="C165">
        <v>150.6750241080039</v>
      </c>
      <c r="D165">
        <v>162.7290260366442</v>
      </c>
      <c r="E165">
        <v>23.958333333333329</v>
      </c>
      <c r="F165">
        <v>23.958333333333329</v>
      </c>
      <c r="G165">
        <v>26.041666666666671</v>
      </c>
      <c r="H165">
        <v>28.125000000000011</v>
      </c>
      <c r="J165" s="19">
        <v>137.2970391595</v>
      </c>
      <c r="K165" s="19">
        <v>131.32760267430999</v>
      </c>
      <c r="L165" s="19">
        <v>149.23591212989001</v>
      </c>
      <c r="M165" s="19">
        <v>167.14422158548001</v>
      </c>
      <c r="N165">
        <f t="shared" ref="N165:N179" si="69">(J165*100)/(60/104.7*1000)</f>
        <v>23.95833333333275</v>
      </c>
      <c r="O165">
        <f t="shared" si="66"/>
        <v>22.916666666667091</v>
      </c>
      <c r="P165">
        <f t="shared" si="67"/>
        <v>26.041666666665805</v>
      </c>
      <c r="Q165">
        <f t="shared" si="68"/>
        <v>29.166666666666263</v>
      </c>
      <c r="S165">
        <v>109.82428115015981</v>
      </c>
      <c r="T165">
        <v>109.82428115015981</v>
      </c>
      <c r="U165">
        <v>139.77635782747601</v>
      </c>
      <c r="V165">
        <v>124.80031948881791</v>
      </c>
      <c r="W165">
        <v>22.916666666666671</v>
      </c>
      <c r="X165">
        <v>22.916666666666671</v>
      </c>
      <c r="Y165">
        <v>29.16666666666665</v>
      </c>
      <c r="Z165">
        <v>26.041666666666661</v>
      </c>
      <c r="AB165">
        <v>167.5977653631285</v>
      </c>
      <c r="AC165">
        <v>160.61452513966481</v>
      </c>
      <c r="AD165">
        <v>153.63128491620111</v>
      </c>
      <c r="AE165">
        <v>188.54748603351959</v>
      </c>
      <c r="AF165">
        <v>25</v>
      </c>
      <c r="AG165">
        <v>23.958333333333339</v>
      </c>
      <c r="AH165">
        <v>22.916666666666671</v>
      </c>
      <c r="AI165">
        <v>28.125000000000011</v>
      </c>
      <c r="AK165">
        <v>166.6666666666666</v>
      </c>
      <c r="AL165">
        <v>120.3703703703703</v>
      </c>
      <c r="AM165">
        <v>129.6296296296297</v>
      </c>
      <c r="AO165">
        <v>37.499999999999993</v>
      </c>
      <c r="AP165">
        <v>27.083333333333329</v>
      </c>
      <c r="AQ165">
        <v>29.166666666666679</v>
      </c>
    </row>
    <row r="166" spans="1:44" ht="17" x14ac:dyDescent="0.2">
      <c r="A166">
        <v>150.67502410800381</v>
      </c>
      <c r="B166">
        <v>96.43201542912243</v>
      </c>
      <c r="C166">
        <v>162.7290260366442</v>
      </c>
      <c r="D166">
        <v>174.78302796528439</v>
      </c>
      <c r="E166">
        <v>26.04166666666665</v>
      </c>
      <c r="F166">
        <v>16.666666666666661</v>
      </c>
      <c r="G166">
        <v>28.125000000000011</v>
      </c>
      <c r="H166">
        <v>30.208333333333329</v>
      </c>
      <c r="J166" s="19">
        <v>119.38872970392001</v>
      </c>
      <c r="K166" s="19">
        <v>137.2970391595</v>
      </c>
      <c r="L166" s="19">
        <v>155.20534861509</v>
      </c>
      <c r="M166" s="19">
        <v>161.17478510028999</v>
      </c>
      <c r="N166">
        <f t="shared" si="69"/>
        <v>20.833333333334039</v>
      </c>
      <c r="O166">
        <f t="shared" si="66"/>
        <v>23.95833333333275</v>
      </c>
      <c r="P166">
        <f t="shared" si="67"/>
        <v>27.083333333333204</v>
      </c>
      <c r="Q166">
        <f t="shared" si="68"/>
        <v>28.125000000000604</v>
      </c>
      <c r="S166">
        <v>124.80031948881791</v>
      </c>
      <c r="T166">
        <v>94.848242811501677</v>
      </c>
      <c r="U166">
        <v>129.7923322683705</v>
      </c>
      <c r="V166">
        <v>139.77635782747601</v>
      </c>
      <c r="W166">
        <v>26.041666666666661</v>
      </c>
      <c r="X166">
        <v>19.791666666666679</v>
      </c>
      <c r="Y166">
        <v>27.083333333333311</v>
      </c>
      <c r="Z166">
        <v>29.16666666666665</v>
      </c>
      <c r="AB166">
        <v>167.5977653631285</v>
      </c>
      <c r="AC166">
        <v>160.61452513966469</v>
      </c>
      <c r="AD166">
        <v>167.5977653631285</v>
      </c>
      <c r="AE166">
        <v>181.56424581005581</v>
      </c>
      <c r="AF166">
        <v>25</v>
      </c>
      <c r="AG166">
        <v>23.958333333333321</v>
      </c>
      <c r="AH166">
        <v>25</v>
      </c>
      <c r="AI166">
        <v>27.083333333333329</v>
      </c>
      <c r="AK166">
        <v>106.4814814814815</v>
      </c>
      <c r="AL166">
        <v>111.1111111111111</v>
      </c>
      <c r="AM166">
        <v>115.74074074074061</v>
      </c>
      <c r="AN166">
        <v>111.1111111111111</v>
      </c>
      <c r="AO166">
        <v>23.95833333333335</v>
      </c>
      <c r="AP166">
        <v>25</v>
      </c>
      <c r="AQ166">
        <v>26.04166666666665</v>
      </c>
      <c r="AR166">
        <v>25</v>
      </c>
    </row>
    <row r="167" spans="1:44" ht="17" x14ac:dyDescent="0.2">
      <c r="A167">
        <v>96.43201542912243</v>
      </c>
      <c r="B167">
        <v>144.64802314368379</v>
      </c>
      <c r="C167">
        <v>156.70202507232401</v>
      </c>
      <c r="D167">
        <v>174.78302796528439</v>
      </c>
      <c r="E167">
        <v>16.666666666666661</v>
      </c>
      <c r="F167">
        <v>25.000000000000011</v>
      </c>
      <c r="G167">
        <v>27.083333333333329</v>
      </c>
      <c r="H167">
        <v>30.208333333333329</v>
      </c>
      <c r="J167" s="19">
        <v>119.38872970392001</v>
      </c>
      <c r="K167" s="19">
        <v>143.26647564469999</v>
      </c>
      <c r="L167" s="19">
        <v>161.17478510028999</v>
      </c>
      <c r="M167" s="19">
        <v>149.23591212989999</v>
      </c>
      <c r="N167">
        <f t="shared" si="69"/>
        <v>20.833333333334039</v>
      </c>
      <c r="O167">
        <f t="shared" si="66"/>
        <v>25.000000000000149</v>
      </c>
      <c r="P167">
        <f t="shared" si="67"/>
        <v>28.125000000000604</v>
      </c>
      <c r="Q167">
        <f t="shared" si="68"/>
        <v>26.041666666667549</v>
      </c>
      <c r="S167">
        <v>99.840255591054301</v>
      </c>
      <c r="T167">
        <v>114.8162939297124</v>
      </c>
      <c r="U167">
        <v>139.77635782747601</v>
      </c>
      <c r="V167">
        <v>119.8083067092653</v>
      </c>
      <c r="W167">
        <v>20.833333333333329</v>
      </c>
      <c r="X167">
        <v>23.958333333333321</v>
      </c>
      <c r="Y167">
        <v>29.16666666666665</v>
      </c>
      <c r="Z167">
        <v>25.000000000000011</v>
      </c>
      <c r="AB167">
        <v>160.61452513966489</v>
      </c>
      <c r="AC167">
        <v>160.61452513966469</v>
      </c>
      <c r="AD167">
        <v>153.63128491620091</v>
      </c>
      <c r="AE167">
        <v>181.56424581005601</v>
      </c>
      <c r="AF167">
        <v>23.95833333333335</v>
      </c>
      <c r="AG167">
        <v>23.958333333333321</v>
      </c>
      <c r="AH167">
        <v>22.916666666666639</v>
      </c>
      <c r="AI167">
        <v>27.083333333333361</v>
      </c>
      <c r="AK167">
        <v>115.74074074074061</v>
      </c>
      <c r="AL167">
        <v>115.74074074074061</v>
      </c>
      <c r="AM167">
        <v>115.74074074074061</v>
      </c>
      <c r="AN167">
        <v>97.222222222222172</v>
      </c>
      <c r="AO167">
        <v>26.04166666666665</v>
      </c>
      <c r="AP167">
        <v>26.04166666666665</v>
      </c>
      <c r="AQ167">
        <v>26.04166666666665</v>
      </c>
      <c r="AR167">
        <v>21.874999999999989</v>
      </c>
    </row>
    <row r="168" spans="1:44" ht="17" x14ac:dyDescent="0.2">
      <c r="A168">
        <v>126.5670202507231</v>
      </c>
      <c r="B168">
        <v>126.5670202507231</v>
      </c>
      <c r="C168">
        <v>162.729026036644</v>
      </c>
      <c r="D168">
        <v>168.75602700096439</v>
      </c>
      <c r="E168">
        <v>21.874999999999979</v>
      </c>
      <c r="F168">
        <v>21.874999999999979</v>
      </c>
      <c r="G168">
        <v>28.124999999999972</v>
      </c>
      <c r="H168">
        <v>29.166666666666689</v>
      </c>
      <c r="J168" s="19">
        <v>143.26647564469999</v>
      </c>
      <c r="K168" s="19">
        <v>125.35816618910999</v>
      </c>
      <c r="L168" s="19">
        <v>149.23591212989001</v>
      </c>
      <c r="M168" s="19">
        <v>161.17478510028999</v>
      </c>
      <c r="N168">
        <f t="shared" si="69"/>
        <v>25.000000000000149</v>
      </c>
      <c r="O168">
        <f t="shared" si="66"/>
        <v>21.874999999999694</v>
      </c>
      <c r="P168">
        <f t="shared" si="67"/>
        <v>26.041666666665805</v>
      </c>
      <c r="Q168">
        <f t="shared" si="68"/>
        <v>28.125000000000604</v>
      </c>
      <c r="S168">
        <v>99.840255591054301</v>
      </c>
      <c r="T168">
        <v>114.8162939297124</v>
      </c>
      <c r="U168">
        <v>119.8083067092653</v>
      </c>
      <c r="V168">
        <v>154.7523961661341</v>
      </c>
      <c r="W168">
        <v>20.833333333333329</v>
      </c>
      <c r="X168">
        <v>23.958333333333321</v>
      </c>
      <c r="Y168">
        <v>25.000000000000011</v>
      </c>
      <c r="Z168">
        <v>32.291666666666643</v>
      </c>
      <c r="AB168">
        <v>167.5977653631285</v>
      </c>
      <c r="AC168">
        <v>146.64804469273761</v>
      </c>
      <c r="AD168">
        <v>167.5977653631285</v>
      </c>
      <c r="AE168">
        <v>174.58100558659231</v>
      </c>
      <c r="AF168">
        <v>25</v>
      </c>
      <c r="AG168">
        <v>21.875000000000021</v>
      </c>
      <c r="AH168">
        <v>25</v>
      </c>
      <c r="AI168">
        <v>26.041666666666679</v>
      </c>
      <c r="AK168">
        <v>120.3703703703704</v>
      </c>
      <c r="AL168">
        <v>115.74074074074061</v>
      </c>
      <c r="AM168">
        <v>69.444444444444343</v>
      </c>
      <c r="AN168">
        <v>157.40740740740739</v>
      </c>
      <c r="AO168">
        <v>27.08333333333335</v>
      </c>
      <c r="AP168">
        <v>26.04166666666665</v>
      </c>
      <c r="AQ168">
        <v>15.62499999999998</v>
      </c>
      <c r="AR168">
        <v>35.416666666666671</v>
      </c>
    </row>
    <row r="169" spans="1:44" ht="17" x14ac:dyDescent="0.2">
      <c r="A169">
        <v>120.54001928640309</v>
      </c>
      <c r="B169">
        <v>126.5670202507231</v>
      </c>
      <c r="C169">
        <v>162.729026036644</v>
      </c>
      <c r="D169">
        <v>156.70202507232401</v>
      </c>
      <c r="E169">
        <v>20.833333333333339</v>
      </c>
      <c r="F169">
        <v>21.874999999999979</v>
      </c>
      <c r="G169">
        <v>28.124999999999972</v>
      </c>
      <c r="H169">
        <v>27.083333333333329</v>
      </c>
      <c r="J169" s="19">
        <v>143.26647564469999</v>
      </c>
      <c r="K169" s="19">
        <v>119.38872970392001</v>
      </c>
      <c r="L169" s="19">
        <v>155.20534861509</v>
      </c>
      <c r="M169" s="19">
        <v>173.11365807068</v>
      </c>
      <c r="N169">
        <f t="shared" si="69"/>
        <v>25.000000000000149</v>
      </c>
      <c r="O169">
        <f t="shared" si="66"/>
        <v>20.833333333334039</v>
      </c>
      <c r="P169">
        <f t="shared" si="67"/>
        <v>27.083333333333204</v>
      </c>
      <c r="Q169">
        <f t="shared" si="68"/>
        <v>30.208333333333659</v>
      </c>
      <c r="S169">
        <v>104.8322683706069</v>
      </c>
      <c r="T169">
        <v>104.8322683706069</v>
      </c>
      <c r="U169">
        <v>129.7923322683705</v>
      </c>
      <c r="V169">
        <v>144.7683706070288</v>
      </c>
      <c r="W169">
        <v>21.874999999999979</v>
      </c>
      <c r="X169">
        <v>21.874999999999979</v>
      </c>
      <c r="Y169">
        <v>27.083333333333311</v>
      </c>
      <c r="Z169">
        <v>30.20833333333335</v>
      </c>
      <c r="AB169">
        <v>167.5977653631285</v>
      </c>
      <c r="AC169">
        <v>160.61452513966469</v>
      </c>
      <c r="AD169">
        <v>181.56424581005601</v>
      </c>
      <c r="AE169">
        <v>167.5977653631285</v>
      </c>
      <c r="AF169">
        <v>25</v>
      </c>
      <c r="AG169">
        <v>23.958333333333321</v>
      </c>
      <c r="AH169">
        <v>27.083333333333361</v>
      </c>
      <c r="AI169">
        <v>25</v>
      </c>
      <c r="AK169">
        <v>175.92592592592609</v>
      </c>
      <c r="AL169">
        <v>106.4814814814813</v>
      </c>
      <c r="AM169">
        <v>143.5185185185187</v>
      </c>
      <c r="AO169">
        <v>39.583333333333378</v>
      </c>
      <c r="AP169">
        <v>23.9583333333333</v>
      </c>
      <c r="AQ169">
        <v>32.291666666666707</v>
      </c>
    </row>
    <row r="170" spans="1:44" ht="17" x14ac:dyDescent="0.2">
      <c r="A170">
        <v>126.5670202507231</v>
      </c>
      <c r="B170">
        <v>132.59402121504351</v>
      </c>
      <c r="C170">
        <v>186.83702989392489</v>
      </c>
      <c r="D170">
        <v>150.67502410800401</v>
      </c>
      <c r="E170">
        <v>21.874999999999979</v>
      </c>
      <c r="F170">
        <v>22.916666666666689</v>
      </c>
      <c r="G170">
        <v>32.291666666666679</v>
      </c>
      <c r="H170">
        <v>26.041666666666689</v>
      </c>
      <c r="J170" s="19">
        <v>119.38872970392001</v>
      </c>
      <c r="K170" s="19">
        <v>137.2970391595</v>
      </c>
      <c r="L170" s="19">
        <v>149.23591212989001</v>
      </c>
      <c r="M170" s="19">
        <v>167.14422158548001</v>
      </c>
      <c r="N170">
        <f t="shared" si="69"/>
        <v>20.833333333334039</v>
      </c>
      <c r="O170">
        <f t="shared" si="66"/>
        <v>23.95833333333275</v>
      </c>
      <c r="P170">
        <f t="shared" si="67"/>
        <v>26.041666666665805</v>
      </c>
      <c r="Q170">
        <f t="shared" si="68"/>
        <v>29.166666666666263</v>
      </c>
      <c r="S170">
        <v>114.8162939297126</v>
      </c>
      <c r="T170">
        <v>114.8162939297126</v>
      </c>
      <c r="U170">
        <v>94.848242811501677</v>
      </c>
      <c r="V170">
        <v>134.7843450479231</v>
      </c>
      <c r="W170">
        <v>23.958333333333371</v>
      </c>
      <c r="X170">
        <v>23.958333333333371</v>
      </c>
      <c r="Y170">
        <v>19.791666666666679</v>
      </c>
      <c r="Z170">
        <v>28.124999999999961</v>
      </c>
      <c r="AB170">
        <v>167.59776536312799</v>
      </c>
      <c r="AC170">
        <v>174.58100558659231</v>
      </c>
      <c r="AD170">
        <v>160.61452513966469</v>
      </c>
      <c r="AE170">
        <v>174.58100558659231</v>
      </c>
      <c r="AF170">
        <v>24.999999999999929</v>
      </c>
      <c r="AG170">
        <v>26.041666666666679</v>
      </c>
      <c r="AH170">
        <v>23.958333333333321</v>
      </c>
      <c r="AI170">
        <v>26.041666666666679</v>
      </c>
      <c r="AK170">
        <v>101.85185185185171</v>
      </c>
      <c r="AL170">
        <v>101.85185185185171</v>
      </c>
      <c r="AM170">
        <v>120.3703703703704</v>
      </c>
      <c r="AN170">
        <v>120.3703703703704</v>
      </c>
      <c r="AO170">
        <v>22.916666666666639</v>
      </c>
      <c r="AP170">
        <v>22.916666666666639</v>
      </c>
      <c r="AQ170">
        <v>27.08333333333335</v>
      </c>
      <c r="AR170">
        <v>27.08333333333335</v>
      </c>
    </row>
    <row r="171" spans="1:44" ht="17" x14ac:dyDescent="0.2">
      <c r="A171">
        <v>108.4860173577631</v>
      </c>
      <c r="B171">
        <v>126.5670202507235</v>
      </c>
      <c r="C171">
        <v>180.81002892960441</v>
      </c>
      <c r="D171">
        <v>156.7020250723244</v>
      </c>
      <c r="E171">
        <v>18.75000000000006</v>
      </c>
      <c r="F171">
        <v>21.87500000000005</v>
      </c>
      <c r="G171">
        <v>31.249999999999961</v>
      </c>
      <c r="H171">
        <v>27.08333333333341</v>
      </c>
      <c r="J171" s="19">
        <v>119.38872970392001</v>
      </c>
      <c r="K171" s="19">
        <v>137.2970391595</v>
      </c>
      <c r="L171" s="19">
        <v>155.20534861509</v>
      </c>
      <c r="M171" s="19">
        <v>161.17478510028999</v>
      </c>
      <c r="N171">
        <f t="shared" si="69"/>
        <v>20.833333333334039</v>
      </c>
      <c r="O171">
        <f t="shared" si="66"/>
        <v>23.95833333333275</v>
      </c>
      <c r="P171">
        <f t="shared" si="67"/>
        <v>27.083333333333204</v>
      </c>
      <c r="Q171">
        <f t="shared" si="68"/>
        <v>28.125000000000604</v>
      </c>
      <c r="S171">
        <v>109.82428115015951</v>
      </c>
      <c r="T171">
        <v>109.82428115015951</v>
      </c>
      <c r="U171">
        <v>149.76038338658151</v>
      </c>
      <c r="V171">
        <v>104.8322683706069</v>
      </c>
      <c r="W171">
        <v>22.916666666666629</v>
      </c>
      <c r="X171">
        <v>22.916666666666629</v>
      </c>
      <c r="Y171">
        <v>31.25</v>
      </c>
      <c r="Z171">
        <v>21.874999999999979</v>
      </c>
      <c r="AB171">
        <v>167.5977653631289</v>
      </c>
      <c r="AC171">
        <v>167.5977653631289</v>
      </c>
      <c r="AD171">
        <v>153.63128491620139</v>
      </c>
      <c r="AE171">
        <v>181.56424581005561</v>
      </c>
      <c r="AF171">
        <v>25.000000000000071</v>
      </c>
      <c r="AG171">
        <v>25.000000000000071</v>
      </c>
      <c r="AH171">
        <v>22.91666666666671</v>
      </c>
      <c r="AI171">
        <v>27.08333333333329</v>
      </c>
      <c r="AK171">
        <v>115.7407407407409</v>
      </c>
      <c r="AL171">
        <v>115.7407407407409</v>
      </c>
      <c r="AM171">
        <v>115.7407407407409</v>
      </c>
      <c r="AN171">
        <v>97.222222222222172</v>
      </c>
      <c r="AO171">
        <v>26.0416666666667</v>
      </c>
      <c r="AP171">
        <v>26.0416666666667</v>
      </c>
      <c r="AQ171">
        <v>26.0416666666667</v>
      </c>
      <c r="AR171">
        <v>21.874999999999989</v>
      </c>
    </row>
    <row r="172" spans="1:44" ht="17" x14ac:dyDescent="0.2">
      <c r="A172">
        <v>120.54001928640351</v>
      </c>
      <c r="B172">
        <v>126.5670202507235</v>
      </c>
      <c r="C172">
        <v>162.7290260366444</v>
      </c>
      <c r="D172">
        <v>168.75602700096439</v>
      </c>
      <c r="E172">
        <v>20.83333333333341</v>
      </c>
      <c r="F172">
        <v>21.87500000000005</v>
      </c>
      <c r="G172">
        <v>28.12500000000005</v>
      </c>
      <c r="H172">
        <v>29.166666666666689</v>
      </c>
      <c r="J172" s="19">
        <v>119.38872970391</v>
      </c>
      <c r="K172" s="19">
        <v>149.23591212989999</v>
      </c>
      <c r="L172" s="19">
        <v>131.32760267430999</v>
      </c>
      <c r="M172" s="19">
        <v>161.17478510028999</v>
      </c>
      <c r="N172">
        <f t="shared" si="69"/>
        <v>20.833333333332295</v>
      </c>
      <c r="O172">
        <f t="shared" si="66"/>
        <v>26.041666666667549</v>
      </c>
      <c r="P172">
        <f t="shared" si="67"/>
        <v>22.916666666667091</v>
      </c>
      <c r="Q172">
        <f t="shared" si="68"/>
        <v>28.125000000000604</v>
      </c>
      <c r="S172">
        <v>119.8083067092653</v>
      </c>
      <c r="T172">
        <v>104.8322683706069</v>
      </c>
      <c r="U172">
        <v>139.7763578274762</v>
      </c>
      <c r="V172">
        <v>124.80031948881791</v>
      </c>
      <c r="W172">
        <v>25.000000000000011</v>
      </c>
      <c r="X172">
        <v>21.874999999999979</v>
      </c>
      <c r="Y172">
        <v>29.1666666666667</v>
      </c>
      <c r="Z172">
        <v>26.041666666666661</v>
      </c>
      <c r="AB172">
        <v>167.59776536312799</v>
      </c>
      <c r="AC172">
        <v>160.61452513966469</v>
      </c>
      <c r="AD172">
        <v>146.6480446927371</v>
      </c>
      <c r="AE172">
        <v>181.56424581005561</v>
      </c>
      <c r="AF172">
        <v>24.999999999999929</v>
      </c>
      <c r="AG172">
        <v>23.958333333333321</v>
      </c>
      <c r="AH172">
        <v>21.874999999999961</v>
      </c>
      <c r="AI172">
        <v>27.08333333333329</v>
      </c>
      <c r="AK172">
        <v>115.7407407407409</v>
      </c>
      <c r="AL172">
        <v>115.7407407407409</v>
      </c>
      <c r="AM172">
        <v>64.814814814814781</v>
      </c>
      <c r="AN172">
        <v>180.55555555555571</v>
      </c>
      <c r="AO172">
        <v>26.0416666666667</v>
      </c>
      <c r="AP172">
        <v>26.0416666666667</v>
      </c>
      <c r="AQ172">
        <v>14.58333333333333</v>
      </c>
      <c r="AR172">
        <v>40.625000000000028</v>
      </c>
    </row>
    <row r="173" spans="1:44" ht="17" x14ac:dyDescent="0.2">
      <c r="A173">
        <v>120.54001928640351</v>
      </c>
      <c r="B173">
        <v>126.5670202507235</v>
      </c>
      <c r="C173">
        <v>156.7020250723244</v>
      </c>
      <c r="D173">
        <v>168.75602700096439</v>
      </c>
      <c r="E173">
        <v>20.83333333333341</v>
      </c>
      <c r="F173">
        <v>21.87500000000005</v>
      </c>
      <c r="G173">
        <v>27.08333333333341</v>
      </c>
      <c r="H173">
        <v>29.166666666666689</v>
      </c>
      <c r="J173" s="19">
        <v>131.32760267430999</v>
      </c>
      <c r="K173" s="19">
        <v>137.2970391595</v>
      </c>
      <c r="L173" s="19">
        <v>149.23591212989999</v>
      </c>
      <c r="M173" s="19">
        <v>161.17478510028999</v>
      </c>
      <c r="N173">
        <f t="shared" si="69"/>
        <v>22.916666666667091</v>
      </c>
      <c r="O173">
        <f t="shared" si="66"/>
        <v>23.95833333333275</v>
      </c>
      <c r="P173">
        <f t="shared" si="67"/>
        <v>26.041666666667549</v>
      </c>
      <c r="Q173">
        <f t="shared" si="68"/>
        <v>28.125000000000604</v>
      </c>
      <c r="S173">
        <v>104.83226837060739</v>
      </c>
      <c r="T173">
        <v>119.8083067092648</v>
      </c>
      <c r="U173">
        <v>114.8162939297126</v>
      </c>
      <c r="V173">
        <v>139.7763578274762</v>
      </c>
      <c r="W173">
        <v>21.875000000000071</v>
      </c>
      <c r="X173">
        <v>24.999999999999918</v>
      </c>
      <c r="Y173">
        <v>23.958333333333371</v>
      </c>
      <c r="Z173">
        <v>29.1666666666667</v>
      </c>
      <c r="AB173">
        <v>167.59776536312799</v>
      </c>
      <c r="AC173">
        <v>153.63128491620139</v>
      </c>
      <c r="AD173">
        <v>153.63128491620139</v>
      </c>
      <c r="AE173">
        <v>188.54748603351979</v>
      </c>
      <c r="AF173">
        <v>24.999999999999929</v>
      </c>
      <c r="AG173">
        <v>22.91666666666671</v>
      </c>
      <c r="AH173">
        <v>22.91666666666671</v>
      </c>
      <c r="AI173">
        <v>28.125000000000039</v>
      </c>
      <c r="AK173">
        <v>162.03703703703701</v>
      </c>
      <c r="AL173">
        <v>120.3703703703704</v>
      </c>
      <c r="AM173">
        <v>129.62962962962959</v>
      </c>
      <c r="AO173">
        <v>36.458333333333321</v>
      </c>
      <c r="AP173">
        <v>27.08333333333335</v>
      </c>
      <c r="AQ173">
        <v>29.16666666666665</v>
      </c>
    </row>
    <row r="174" spans="1:44" ht="17" x14ac:dyDescent="0.2">
      <c r="A174">
        <v>150.6750241080035</v>
      </c>
      <c r="B174">
        <v>102.4590163934427</v>
      </c>
      <c r="C174">
        <v>156.7020250723244</v>
      </c>
      <c r="D174">
        <v>174.78302796528439</v>
      </c>
      <c r="E174">
        <v>26.041666666666611</v>
      </c>
      <c r="F174">
        <v>17.708333333333339</v>
      </c>
      <c r="G174">
        <v>27.08333333333341</v>
      </c>
      <c r="H174">
        <v>30.208333333333329</v>
      </c>
      <c r="J174" s="19">
        <v>113.41929321872</v>
      </c>
      <c r="K174" s="19">
        <v>143.26647564469999</v>
      </c>
      <c r="L174" s="19">
        <v>149.23591212989999</v>
      </c>
      <c r="M174" s="19">
        <v>173.11365807068</v>
      </c>
      <c r="N174">
        <f t="shared" si="69"/>
        <v>19.791666666666639</v>
      </c>
      <c r="O174">
        <f t="shared" si="66"/>
        <v>25.000000000000149</v>
      </c>
      <c r="P174">
        <f t="shared" si="67"/>
        <v>26.041666666667549</v>
      </c>
      <c r="Q174">
        <f t="shared" si="68"/>
        <v>30.208333333333659</v>
      </c>
      <c r="S174">
        <v>114.8162939297126</v>
      </c>
      <c r="T174">
        <v>119.8083067092648</v>
      </c>
      <c r="U174">
        <v>119.8083067092648</v>
      </c>
      <c r="V174">
        <v>129.79233226837101</v>
      </c>
      <c r="W174">
        <v>23.958333333333371</v>
      </c>
      <c r="X174">
        <v>24.999999999999918</v>
      </c>
      <c r="Y174">
        <v>24.999999999999918</v>
      </c>
      <c r="Z174">
        <v>27.0833333333334</v>
      </c>
      <c r="AB174">
        <v>181.56424581005561</v>
      </c>
      <c r="AC174">
        <v>153.63128491620139</v>
      </c>
      <c r="AD174">
        <v>160.61452513966469</v>
      </c>
      <c r="AE174">
        <v>181.56424581005561</v>
      </c>
      <c r="AF174">
        <v>27.08333333333329</v>
      </c>
      <c r="AG174">
        <v>22.91666666666671</v>
      </c>
      <c r="AH174">
        <v>23.958333333333321</v>
      </c>
      <c r="AI174">
        <v>27.08333333333329</v>
      </c>
      <c r="AK174">
        <v>106.48148148148179</v>
      </c>
      <c r="AL174">
        <v>111.1111111111113</v>
      </c>
      <c r="AM174">
        <v>115.7407407407409</v>
      </c>
      <c r="AN174">
        <v>111.1111111111113</v>
      </c>
      <c r="AO174">
        <v>23.9583333333334</v>
      </c>
      <c r="AP174">
        <v>25.00000000000005</v>
      </c>
      <c r="AQ174">
        <v>26.0416666666667</v>
      </c>
      <c r="AR174">
        <v>25.00000000000005</v>
      </c>
    </row>
    <row r="175" spans="1:44" ht="17" x14ac:dyDescent="0.2">
      <c r="A175">
        <v>114.5130183220826</v>
      </c>
      <c r="B175">
        <v>126.5670202507235</v>
      </c>
      <c r="C175">
        <v>156.7020250723244</v>
      </c>
      <c r="D175">
        <v>174.78302796528439</v>
      </c>
      <c r="E175">
        <v>19.791666666666622</v>
      </c>
      <c r="F175">
        <v>21.87500000000005</v>
      </c>
      <c r="G175">
        <v>27.08333333333341</v>
      </c>
      <c r="H175">
        <v>30.208333333333329</v>
      </c>
      <c r="J175" s="19">
        <v>107.44985673351999</v>
      </c>
      <c r="K175" s="19">
        <v>131.32760267430999</v>
      </c>
      <c r="L175" s="19">
        <v>155.20534861509</v>
      </c>
      <c r="M175" s="19">
        <v>161.17478510028999</v>
      </c>
      <c r="N175">
        <f t="shared" si="69"/>
        <v>18.74999999999924</v>
      </c>
      <c r="O175">
        <f t="shared" si="66"/>
        <v>22.916666666667091</v>
      </c>
      <c r="P175">
        <f t="shared" si="67"/>
        <v>27.083333333333204</v>
      </c>
      <c r="Q175">
        <f t="shared" si="68"/>
        <v>28.125000000000604</v>
      </c>
      <c r="S175">
        <v>104.83226837060739</v>
      </c>
      <c r="T175">
        <v>119.8083067092648</v>
      </c>
      <c r="U175">
        <v>144.7683706070284</v>
      </c>
      <c r="V175">
        <v>109.82428115015951</v>
      </c>
      <c r="W175">
        <v>21.875000000000071</v>
      </c>
      <c r="X175">
        <v>24.999999999999918</v>
      </c>
      <c r="Y175">
        <v>30.20833333333325</v>
      </c>
      <c r="Z175">
        <v>22.916666666666629</v>
      </c>
      <c r="AB175">
        <v>153.63128491620139</v>
      </c>
      <c r="AC175">
        <v>160.61452513966469</v>
      </c>
      <c r="AD175">
        <v>167.5977653631289</v>
      </c>
      <c r="AE175">
        <v>181.56424581005561</v>
      </c>
      <c r="AF175">
        <v>22.91666666666671</v>
      </c>
      <c r="AG175">
        <v>23.958333333333321</v>
      </c>
      <c r="AH175">
        <v>25.000000000000071</v>
      </c>
      <c r="AI175">
        <v>27.08333333333329</v>
      </c>
      <c r="AK175">
        <v>115.7407407407409</v>
      </c>
      <c r="AL175">
        <v>115.7407407407409</v>
      </c>
      <c r="AM175">
        <v>115.7407407407409</v>
      </c>
      <c r="AN175">
        <v>97.222222222222626</v>
      </c>
      <c r="AO175">
        <v>26.0416666666667</v>
      </c>
      <c r="AP175">
        <v>26.0416666666667</v>
      </c>
      <c r="AQ175">
        <v>26.0416666666667</v>
      </c>
      <c r="AR175">
        <v>21.875000000000099</v>
      </c>
    </row>
    <row r="176" spans="1:44" ht="17" x14ac:dyDescent="0.2">
      <c r="A176">
        <v>120.5400192864026</v>
      </c>
      <c r="B176">
        <v>126.5670202507235</v>
      </c>
      <c r="C176">
        <v>192.86403085824529</v>
      </c>
      <c r="D176">
        <v>138.62102217936351</v>
      </c>
      <c r="E176">
        <v>20.833333333333261</v>
      </c>
      <c r="F176">
        <v>21.87500000000005</v>
      </c>
      <c r="G176">
        <v>33.3333333333334</v>
      </c>
      <c r="H176">
        <v>23.958333333333329</v>
      </c>
      <c r="J176" s="19">
        <v>143.26647564469999</v>
      </c>
      <c r="K176" s="19">
        <v>125.35816618910999</v>
      </c>
      <c r="L176" s="19">
        <v>137.2970391595</v>
      </c>
      <c r="M176" s="19">
        <v>167.14422158548001</v>
      </c>
      <c r="N176">
        <f t="shared" si="69"/>
        <v>25.000000000000149</v>
      </c>
      <c r="O176">
        <f t="shared" si="66"/>
        <v>21.874999999999694</v>
      </c>
      <c r="P176">
        <f t="shared" si="67"/>
        <v>23.95833333333275</v>
      </c>
      <c r="Q176">
        <f t="shared" si="68"/>
        <v>29.166666666666263</v>
      </c>
      <c r="S176">
        <v>99.840255591054301</v>
      </c>
      <c r="T176">
        <v>114.8162939297126</v>
      </c>
      <c r="U176">
        <v>139.7763578274762</v>
      </c>
      <c r="V176">
        <v>124.80031948881791</v>
      </c>
      <c r="W176">
        <v>20.833333333333329</v>
      </c>
      <c r="X176">
        <v>23.958333333333371</v>
      </c>
      <c r="Y176">
        <v>29.1666666666667</v>
      </c>
      <c r="Z176">
        <v>26.041666666666661</v>
      </c>
      <c r="AB176">
        <v>153.63128491620139</v>
      </c>
      <c r="AC176">
        <v>167.59776536312799</v>
      </c>
      <c r="AD176">
        <v>167.5977653631289</v>
      </c>
      <c r="AE176">
        <v>174.58100558659129</v>
      </c>
      <c r="AF176">
        <v>22.91666666666671</v>
      </c>
      <c r="AG176">
        <v>24.999999999999929</v>
      </c>
      <c r="AH176">
        <v>25.000000000000071</v>
      </c>
      <c r="AI176">
        <v>26.04166666666654</v>
      </c>
      <c r="AK176">
        <v>120.3703703703704</v>
      </c>
      <c r="AL176">
        <v>115.7407407407409</v>
      </c>
      <c r="AM176">
        <v>69.444444444444343</v>
      </c>
      <c r="AN176">
        <v>157.40740740740691</v>
      </c>
      <c r="AO176">
        <v>27.08333333333335</v>
      </c>
      <c r="AP176">
        <v>26.0416666666667</v>
      </c>
      <c r="AQ176">
        <v>15.62499999999998</v>
      </c>
      <c r="AR176">
        <v>35.416666666666558</v>
      </c>
    </row>
    <row r="177" spans="1:44" ht="17" x14ac:dyDescent="0.2">
      <c r="A177">
        <v>126.5670202507235</v>
      </c>
      <c r="B177">
        <v>126.5670202507235</v>
      </c>
      <c r="C177">
        <v>162.7290260366444</v>
      </c>
      <c r="D177">
        <v>156.7020250723244</v>
      </c>
      <c r="E177">
        <v>21.87500000000005</v>
      </c>
      <c r="F177">
        <v>21.87500000000005</v>
      </c>
      <c r="G177">
        <v>28.12500000000005</v>
      </c>
      <c r="H177">
        <v>27.08333333333341</v>
      </c>
      <c r="J177" s="19">
        <v>137.2970391595</v>
      </c>
      <c r="K177" s="19">
        <v>113.41929321872</v>
      </c>
      <c r="L177" s="19">
        <v>161.17478510028999</v>
      </c>
      <c r="M177" s="19">
        <v>161.17478510028999</v>
      </c>
      <c r="N177">
        <f t="shared" si="69"/>
        <v>23.95833333333275</v>
      </c>
      <c r="O177">
        <f t="shared" si="66"/>
        <v>19.791666666666639</v>
      </c>
      <c r="P177">
        <f t="shared" si="67"/>
        <v>28.125000000000604</v>
      </c>
      <c r="Q177">
        <f t="shared" si="68"/>
        <v>28.125000000000604</v>
      </c>
      <c r="S177">
        <v>109.82428115015951</v>
      </c>
      <c r="T177">
        <v>119.8083067092648</v>
      </c>
      <c r="U177">
        <v>119.8083067092648</v>
      </c>
      <c r="V177">
        <v>119.8083067092648</v>
      </c>
      <c r="W177">
        <v>22.916666666666629</v>
      </c>
      <c r="X177">
        <v>24.999999999999918</v>
      </c>
      <c r="Y177">
        <v>24.999999999999918</v>
      </c>
      <c r="Z177">
        <v>24.999999999999918</v>
      </c>
      <c r="AB177">
        <v>160.61452513966469</v>
      </c>
      <c r="AC177">
        <v>160.61452513966469</v>
      </c>
      <c r="AD177">
        <v>174.58100558659129</v>
      </c>
      <c r="AE177">
        <v>167.5977653631289</v>
      </c>
      <c r="AF177">
        <v>23.958333333333321</v>
      </c>
      <c r="AG177">
        <v>23.958333333333321</v>
      </c>
      <c r="AH177">
        <v>26.04166666666654</v>
      </c>
      <c r="AI177">
        <v>25.000000000000071</v>
      </c>
      <c r="AK177">
        <v>175.92592592592609</v>
      </c>
      <c r="AL177">
        <v>106.48148148148179</v>
      </c>
      <c r="AM177">
        <v>143.51851851851819</v>
      </c>
      <c r="AO177">
        <v>39.583333333333378</v>
      </c>
      <c r="AP177">
        <v>23.9583333333334</v>
      </c>
      <c r="AQ177">
        <v>32.291666666666607</v>
      </c>
    </row>
    <row r="178" spans="1:44" ht="17" x14ac:dyDescent="0.2">
      <c r="A178">
        <v>114.5130183220836</v>
      </c>
      <c r="B178">
        <v>156.70202507232349</v>
      </c>
      <c r="C178">
        <v>168.75602700096351</v>
      </c>
      <c r="D178">
        <v>108.4860173577636</v>
      </c>
      <c r="E178">
        <v>19.791666666666771</v>
      </c>
      <c r="F178">
        <v>27.08333333333325</v>
      </c>
      <c r="G178">
        <v>29.166666666666529</v>
      </c>
      <c r="H178">
        <v>18.750000000000139</v>
      </c>
      <c r="J178" s="19">
        <v>113.41929321872</v>
      </c>
      <c r="K178" s="19">
        <v>143.26647564469999</v>
      </c>
      <c r="L178" s="19">
        <v>143.26647564469999</v>
      </c>
      <c r="M178" s="19">
        <v>173.11365807068</v>
      </c>
      <c r="N178">
        <f t="shared" si="69"/>
        <v>19.791666666666639</v>
      </c>
      <c r="O178">
        <f t="shared" si="66"/>
        <v>25.000000000000149</v>
      </c>
      <c r="P178">
        <f t="shared" si="67"/>
        <v>25.000000000000149</v>
      </c>
      <c r="Q178">
        <f t="shared" si="68"/>
        <v>30.208333333333659</v>
      </c>
      <c r="S178">
        <v>109.82428115015951</v>
      </c>
      <c r="T178">
        <v>109.82428115015951</v>
      </c>
      <c r="U178">
        <v>129.79233226837101</v>
      </c>
      <c r="V178">
        <v>119.8083067092648</v>
      </c>
      <c r="W178">
        <v>22.916666666666629</v>
      </c>
      <c r="X178">
        <v>22.916666666666629</v>
      </c>
      <c r="Y178">
        <v>27.0833333333334</v>
      </c>
      <c r="Z178">
        <v>24.999999999999918</v>
      </c>
      <c r="AB178">
        <v>167.5977653631289</v>
      </c>
      <c r="AC178">
        <v>174.58100558659129</v>
      </c>
      <c r="AD178">
        <v>160.61452513966469</v>
      </c>
      <c r="AE178">
        <v>181.56424581005561</v>
      </c>
      <c r="AF178">
        <v>25.000000000000071</v>
      </c>
      <c r="AG178">
        <v>26.04166666666654</v>
      </c>
      <c r="AH178">
        <v>23.958333333333321</v>
      </c>
      <c r="AI178">
        <v>27.08333333333329</v>
      </c>
      <c r="AK178">
        <v>101.8518518518522</v>
      </c>
      <c r="AL178">
        <v>101.8518518518522</v>
      </c>
      <c r="AM178">
        <v>120.3703703703704</v>
      </c>
      <c r="AN178">
        <v>120.3703703703704</v>
      </c>
      <c r="AO178">
        <v>22.916666666666739</v>
      </c>
      <c r="AP178">
        <v>22.916666666666739</v>
      </c>
      <c r="AQ178">
        <v>27.08333333333335</v>
      </c>
      <c r="AR178">
        <v>27.08333333333335</v>
      </c>
    </row>
    <row r="179" spans="1:44" ht="17" x14ac:dyDescent="0.2">
      <c r="A179">
        <v>144.6480231436835</v>
      </c>
      <c r="B179">
        <v>144.6480231436835</v>
      </c>
      <c r="C179">
        <v>144.6480231436835</v>
      </c>
      <c r="D179">
        <v>156.70202507231991</v>
      </c>
      <c r="E179">
        <v>24.999999999999972</v>
      </c>
      <c r="F179">
        <v>24.999999999999972</v>
      </c>
      <c r="G179">
        <v>24.999999999999972</v>
      </c>
      <c r="H179">
        <v>27.083333333332622</v>
      </c>
      <c r="J179" s="19">
        <v>113.41929321872</v>
      </c>
      <c r="K179" s="19">
        <v>137.2970391595</v>
      </c>
      <c r="L179" s="19">
        <v>155.20534861509</v>
      </c>
      <c r="M179" s="19">
        <v>155.20534861509</v>
      </c>
      <c r="N179">
        <f t="shared" si="69"/>
        <v>19.791666666666639</v>
      </c>
      <c r="O179">
        <f t="shared" si="66"/>
        <v>23.95833333333275</v>
      </c>
      <c r="P179">
        <f t="shared" si="67"/>
        <v>27.083333333333204</v>
      </c>
      <c r="Q179">
        <f t="shared" si="68"/>
        <v>27.083333333333204</v>
      </c>
      <c r="S179">
        <v>114.8162939297126</v>
      </c>
      <c r="T179">
        <v>109.82428115015951</v>
      </c>
      <c r="U179">
        <v>144.7683706070284</v>
      </c>
      <c r="V179">
        <v>109.8242811501632</v>
      </c>
      <c r="W179">
        <v>23.958333333333371</v>
      </c>
      <c r="X179">
        <v>22.916666666666629</v>
      </c>
      <c r="Y179">
        <v>30.20833333333325</v>
      </c>
      <c r="Z179">
        <v>22.916666666667389</v>
      </c>
      <c r="AB179">
        <v>153.63128491620051</v>
      </c>
      <c r="AC179">
        <v>181.56424581005561</v>
      </c>
      <c r="AD179">
        <v>160.61452513966469</v>
      </c>
      <c r="AE179">
        <v>195.5307262569859</v>
      </c>
      <c r="AF179">
        <v>22.916666666666568</v>
      </c>
      <c r="AG179">
        <v>27.08333333333329</v>
      </c>
      <c r="AH179">
        <v>23.958333333333321</v>
      </c>
      <c r="AI179">
        <v>29.166666666667059</v>
      </c>
      <c r="AK179">
        <v>115.7407407407409</v>
      </c>
      <c r="AL179">
        <v>115.7407407407409</v>
      </c>
      <c r="AM179">
        <v>115.7407407407409</v>
      </c>
      <c r="AN179">
        <v>97.222222222218988</v>
      </c>
      <c r="AO179">
        <v>26.0416666666667</v>
      </c>
      <c r="AP179">
        <v>26.0416666666667</v>
      </c>
      <c r="AQ179">
        <v>26.0416666666667</v>
      </c>
      <c r="AR179">
        <v>21.874999999999279</v>
      </c>
    </row>
    <row r="180" spans="1:44" ht="31" x14ac:dyDescent="0.35">
      <c r="A180" s="3"/>
      <c r="M180" s="21"/>
      <c r="N180" s="20"/>
      <c r="O180" s="20"/>
      <c r="P180" s="20"/>
      <c r="Q180" s="20"/>
    </row>
    <row r="181" spans="1:44" ht="31" x14ac:dyDescent="0.35">
      <c r="A181" s="12" t="s">
        <v>54</v>
      </c>
      <c r="B181" s="13"/>
      <c r="C181" s="13"/>
      <c r="D181" s="13"/>
      <c r="E181" s="13"/>
      <c r="F181" s="13"/>
      <c r="G181" s="13"/>
      <c r="H181" s="13"/>
      <c r="J181" s="9" t="s">
        <v>36</v>
      </c>
      <c r="K181" s="10"/>
      <c r="L181" s="10"/>
      <c r="M181" s="10"/>
      <c r="N181" s="10"/>
      <c r="O181" s="10"/>
      <c r="P181" s="10"/>
      <c r="Q181" s="10"/>
      <c r="S181" s="1" t="s">
        <v>98</v>
      </c>
      <c r="T181" s="2"/>
      <c r="U181" s="2"/>
      <c r="V181" s="2"/>
      <c r="W181" s="2"/>
      <c r="X181" s="2"/>
      <c r="Y181" s="2"/>
      <c r="Z181" s="2"/>
      <c r="AB181" s="14" t="s">
        <v>125</v>
      </c>
      <c r="AC181" s="15"/>
      <c r="AD181" s="15"/>
      <c r="AE181" s="15"/>
      <c r="AF181" s="15"/>
      <c r="AG181" s="15"/>
      <c r="AH181" s="15"/>
      <c r="AI181" s="15"/>
      <c r="AK181" s="16" t="s">
        <v>149</v>
      </c>
      <c r="AL181" s="17"/>
      <c r="AM181" s="17"/>
      <c r="AN181" s="17"/>
      <c r="AO181" s="17"/>
      <c r="AP181" s="17"/>
      <c r="AQ181" s="18"/>
      <c r="AR181" s="17"/>
    </row>
    <row r="182" spans="1:44" ht="31" x14ac:dyDescent="0.35">
      <c r="A182" s="3" t="s">
        <v>2</v>
      </c>
      <c r="E182" s="7"/>
      <c r="F182" s="6" t="s">
        <v>65</v>
      </c>
      <c r="G182" s="6"/>
      <c r="H182" s="6"/>
      <c r="J182" s="3" t="s">
        <v>2</v>
      </c>
      <c r="N182" s="23" t="s">
        <v>18</v>
      </c>
      <c r="O182" s="6" t="s">
        <v>66</v>
      </c>
      <c r="P182" s="6"/>
      <c r="Q182" s="6"/>
      <c r="S182" s="3" t="s">
        <v>2</v>
      </c>
      <c r="W182" s="23" t="s">
        <v>18</v>
      </c>
      <c r="X182" s="24" t="s">
        <v>93</v>
      </c>
      <c r="AB182" s="3" t="s">
        <v>2</v>
      </c>
      <c r="AF182" s="23" t="s">
        <v>18</v>
      </c>
      <c r="AG182" s="24" t="s">
        <v>126</v>
      </c>
      <c r="AH182" s="19"/>
      <c r="AI182" s="19"/>
      <c r="AK182" s="3" t="s">
        <v>2</v>
      </c>
      <c r="AO182" s="6" t="s">
        <v>3</v>
      </c>
      <c r="AP182" s="6" t="s">
        <v>32</v>
      </c>
      <c r="AQ182" s="6"/>
      <c r="AR182" s="6"/>
    </row>
    <row r="183" spans="1:44" x14ac:dyDescent="0.2">
      <c r="A183" s="7">
        <v>1</v>
      </c>
      <c r="B183" s="6">
        <v>2</v>
      </c>
      <c r="C183" s="6">
        <v>3</v>
      </c>
      <c r="D183" s="6">
        <v>4</v>
      </c>
      <c r="E183" s="7">
        <v>1</v>
      </c>
      <c r="F183" s="6">
        <v>2</v>
      </c>
      <c r="G183" s="6">
        <v>3</v>
      </c>
      <c r="H183" s="6">
        <v>4</v>
      </c>
      <c r="J183" s="7">
        <v>1</v>
      </c>
      <c r="K183" s="6">
        <v>2</v>
      </c>
      <c r="L183" s="6">
        <v>3</v>
      </c>
      <c r="M183" s="6">
        <v>4</v>
      </c>
      <c r="N183" s="7">
        <v>1</v>
      </c>
      <c r="O183" s="6">
        <v>2</v>
      </c>
      <c r="P183" s="6">
        <v>3</v>
      </c>
      <c r="Q183" s="6">
        <v>4</v>
      </c>
      <c r="S183" s="7">
        <v>1</v>
      </c>
      <c r="T183" s="6">
        <v>2</v>
      </c>
      <c r="U183" s="6">
        <v>3</v>
      </c>
      <c r="V183" s="6">
        <v>4</v>
      </c>
      <c r="W183" s="7">
        <v>1</v>
      </c>
      <c r="X183" s="6">
        <v>2</v>
      </c>
      <c r="Y183" s="6">
        <v>3</v>
      </c>
      <c r="Z183" s="6">
        <v>4</v>
      </c>
      <c r="AB183" s="7">
        <v>1</v>
      </c>
      <c r="AC183" s="6">
        <v>2</v>
      </c>
      <c r="AD183" s="6">
        <v>3</v>
      </c>
      <c r="AE183" s="6">
        <v>4</v>
      </c>
      <c r="AF183" s="7">
        <v>1</v>
      </c>
      <c r="AG183" s="6">
        <v>2</v>
      </c>
      <c r="AH183" s="6">
        <v>3</v>
      </c>
      <c r="AI183" s="6">
        <v>4</v>
      </c>
      <c r="AK183" s="7">
        <v>1</v>
      </c>
      <c r="AL183" s="6">
        <v>2</v>
      </c>
      <c r="AM183" s="6">
        <v>3</v>
      </c>
      <c r="AN183" s="6">
        <v>4</v>
      </c>
      <c r="AO183" s="7">
        <v>1</v>
      </c>
      <c r="AP183" s="6">
        <v>2</v>
      </c>
      <c r="AQ183" s="6">
        <v>3</v>
      </c>
      <c r="AR183" s="6">
        <v>4</v>
      </c>
    </row>
    <row r="184" spans="1:44" x14ac:dyDescent="0.2">
      <c r="A184">
        <v>154.3686322939179</v>
      </c>
      <c r="B184">
        <v>115.7764742204384</v>
      </c>
      <c r="C184">
        <v>199.39281671297729</v>
      </c>
      <c r="D184">
        <v>173.66471133065761</v>
      </c>
      <c r="E184">
        <v>25</v>
      </c>
      <c r="F184">
        <v>18.75</v>
      </c>
      <c r="G184">
        <v>32.291666666666671</v>
      </c>
      <c r="H184">
        <v>28.125</v>
      </c>
      <c r="J184">
        <v>157.51698444006129</v>
      </c>
      <c r="K184">
        <v>150.6684198991891</v>
      </c>
      <c r="L184">
        <v>178.06267806267809</v>
      </c>
      <c r="M184">
        <v>178.06267806267809</v>
      </c>
      <c r="N184">
        <v>23.958333333333329</v>
      </c>
      <c r="O184">
        <v>22.916666666666661</v>
      </c>
      <c r="P184">
        <v>27.083333333333329</v>
      </c>
      <c r="Q184">
        <v>27.083333333333329</v>
      </c>
      <c r="S184">
        <v>130.66202090592341</v>
      </c>
      <c r="T184">
        <v>130.66202090592341</v>
      </c>
      <c r="U184">
        <v>130.66202090592341</v>
      </c>
      <c r="V184">
        <v>130.6620209059233</v>
      </c>
      <c r="W184">
        <v>25</v>
      </c>
      <c r="X184">
        <v>25</v>
      </c>
      <c r="Y184">
        <v>25</v>
      </c>
      <c r="Z184">
        <v>24.999999999999989</v>
      </c>
      <c r="AB184">
        <v>187.39589117157141</v>
      </c>
      <c r="AC184">
        <v>145.75235980011109</v>
      </c>
      <c r="AD184">
        <v>166.57412548584119</v>
      </c>
      <c r="AE184">
        <v>166.57412548584131</v>
      </c>
      <c r="AF184">
        <v>28.125</v>
      </c>
      <c r="AG184">
        <v>21.875</v>
      </c>
      <c r="AH184">
        <v>24.999999999999989</v>
      </c>
      <c r="AI184">
        <v>25</v>
      </c>
      <c r="AK184">
        <v>107.1428571428571</v>
      </c>
      <c r="AL184">
        <v>165.17857142857139</v>
      </c>
      <c r="AM184">
        <v>165.17857142857139</v>
      </c>
      <c r="AO184">
        <v>25</v>
      </c>
      <c r="AP184">
        <v>38.541666666666657</v>
      </c>
      <c r="AQ184">
        <v>38.541666666666671</v>
      </c>
    </row>
    <row r="185" spans="1:44" x14ac:dyDescent="0.2">
      <c r="A185">
        <v>141.50457960275801</v>
      </c>
      <c r="B185">
        <v>141.50457960275801</v>
      </c>
      <c r="C185">
        <v>173.66471133065761</v>
      </c>
      <c r="D185">
        <v>173.66471133065761</v>
      </c>
      <c r="E185">
        <v>22.916666666666661</v>
      </c>
      <c r="F185">
        <v>22.916666666666661</v>
      </c>
      <c r="G185">
        <v>28.125</v>
      </c>
      <c r="H185">
        <v>28.125</v>
      </c>
      <c r="J185">
        <v>157.51698444006141</v>
      </c>
      <c r="K185">
        <v>130.12272627657239</v>
      </c>
      <c r="L185">
        <v>178.06267806267809</v>
      </c>
      <c r="M185">
        <v>171.21411352180581</v>
      </c>
      <c r="N185">
        <v>23.958333333333339</v>
      </c>
      <c r="O185">
        <v>19.791666666666661</v>
      </c>
      <c r="P185">
        <v>27.083333333333329</v>
      </c>
      <c r="Q185">
        <v>26.041666666666661</v>
      </c>
      <c r="S185">
        <v>125.2177700348432</v>
      </c>
      <c r="T185">
        <v>103.4407665505227</v>
      </c>
      <c r="U185">
        <v>141.55052264808359</v>
      </c>
      <c r="V185">
        <v>141.55052264808359</v>
      </c>
      <c r="W185">
        <v>23.958333333333321</v>
      </c>
      <c r="X185">
        <v>19.791666666666671</v>
      </c>
      <c r="Y185">
        <v>27.083333333333339</v>
      </c>
      <c r="Z185">
        <v>27.083333333333339</v>
      </c>
      <c r="AB185">
        <v>180.45530260966129</v>
      </c>
      <c r="AC185">
        <v>117.99000555247081</v>
      </c>
      <c r="AD185">
        <v>201.2770682953915</v>
      </c>
      <c r="AE185">
        <v>180.4553026096612</v>
      </c>
      <c r="AF185">
        <v>27.083333333333329</v>
      </c>
      <c r="AG185">
        <v>17.708333333333329</v>
      </c>
      <c r="AH185">
        <v>30.208333333333329</v>
      </c>
      <c r="AI185">
        <v>27.083333333333311</v>
      </c>
      <c r="AK185">
        <v>156.25</v>
      </c>
      <c r="AL185">
        <v>102.6785714285714</v>
      </c>
      <c r="AM185">
        <v>174.10714285714289</v>
      </c>
      <c r="AO185">
        <v>36.458333333333343</v>
      </c>
      <c r="AP185">
        <v>23.958333333333339</v>
      </c>
      <c r="AQ185">
        <v>40.625000000000007</v>
      </c>
    </row>
    <row r="186" spans="1:44" x14ac:dyDescent="0.2">
      <c r="A186">
        <v>128.6405269115983</v>
      </c>
      <c r="B186">
        <v>135.07255325717799</v>
      </c>
      <c r="C186">
        <v>173.66471133065761</v>
      </c>
      <c r="D186">
        <v>180.09673767623761</v>
      </c>
      <c r="E186">
        <v>20.833333333333339</v>
      </c>
      <c r="F186">
        <v>21.874999999999979</v>
      </c>
      <c r="G186">
        <v>28.125</v>
      </c>
      <c r="H186">
        <v>29.166666666666671</v>
      </c>
      <c r="J186">
        <v>164.36554898093371</v>
      </c>
      <c r="K186">
        <v>150.6684198991891</v>
      </c>
      <c r="L186">
        <v>178.06267806267809</v>
      </c>
      <c r="M186">
        <v>171.21411352180581</v>
      </c>
      <c r="N186">
        <v>25.000000000000011</v>
      </c>
      <c r="O186">
        <v>22.916666666666661</v>
      </c>
      <c r="P186">
        <v>27.083333333333329</v>
      </c>
      <c r="Q186">
        <v>26.041666666666661</v>
      </c>
      <c r="S186">
        <v>130.6620209059233</v>
      </c>
      <c r="T186">
        <v>130.6620209059233</v>
      </c>
      <c r="U186">
        <v>103.4407665505225</v>
      </c>
      <c r="V186">
        <v>179.66027874564449</v>
      </c>
      <c r="W186">
        <v>24.999999999999989</v>
      </c>
      <c r="X186">
        <v>24.999999999999989</v>
      </c>
      <c r="Y186">
        <v>19.791666666666639</v>
      </c>
      <c r="Z186">
        <v>34.374999999999993</v>
      </c>
      <c r="AB186">
        <v>159.63353692393119</v>
      </c>
      <c r="AC186">
        <v>173.51471404775131</v>
      </c>
      <c r="AD186">
        <v>145.75235980011101</v>
      </c>
      <c r="AE186">
        <v>201.2770682953915</v>
      </c>
      <c r="AF186">
        <v>23.958333333333329</v>
      </c>
      <c r="AG186">
        <v>26.041666666666671</v>
      </c>
      <c r="AH186">
        <v>21.874999999999989</v>
      </c>
      <c r="AI186">
        <v>30.208333333333329</v>
      </c>
      <c r="AK186">
        <v>151.78571428571431</v>
      </c>
      <c r="AL186">
        <v>116.0714285714287</v>
      </c>
      <c r="AM186">
        <v>151.78571428571419</v>
      </c>
      <c r="AO186">
        <v>35.416666666666679</v>
      </c>
      <c r="AP186">
        <v>27.083333333333361</v>
      </c>
      <c r="AQ186">
        <v>35.41666666666665</v>
      </c>
    </row>
    <row r="187" spans="1:44" x14ac:dyDescent="0.2">
      <c r="A187">
        <v>115.7764742204383</v>
      </c>
      <c r="B187">
        <v>147.9366059483377</v>
      </c>
      <c r="C187">
        <v>180.09673767623741</v>
      </c>
      <c r="D187">
        <v>173.66471133065761</v>
      </c>
      <c r="E187">
        <v>18.749999999999989</v>
      </c>
      <c r="F187">
        <v>23.9583333333333</v>
      </c>
      <c r="G187">
        <v>29.166666666666639</v>
      </c>
      <c r="H187">
        <v>28.125</v>
      </c>
      <c r="J187">
        <v>150.6684198991891</v>
      </c>
      <c r="K187">
        <v>143.819855358317</v>
      </c>
      <c r="L187">
        <v>184.91124260355039</v>
      </c>
      <c r="M187">
        <v>178.06267806267809</v>
      </c>
      <c r="N187">
        <v>22.916666666666661</v>
      </c>
      <c r="O187">
        <v>21.875000000000011</v>
      </c>
      <c r="P187">
        <v>28.125000000000011</v>
      </c>
      <c r="Q187">
        <v>27.083333333333329</v>
      </c>
      <c r="S187">
        <v>119.773519163763</v>
      </c>
      <c r="T187">
        <v>119.773519163763</v>
      </c>
      <c r="U187">
        <v>141.55052264808359</v>
      </c>
      <c r="V187">
        <v>136.10627177700329</v>
      </c>
      <c r="W187">
        <v>22.91666666666665</v>
      </c>
      <c r="X187">
        <v>22.91666666666665</v>
      </c>
      <c r="Y187">
        <v>27.083333333333339</v>
      </c>
      <c r="Z187">
        <v>26.041666666666622</v>
      </c>
      <c r="AB187">
        <v>166.57412548584099</v>
      </c>
      <c r="AC187">
        <v>152.6929483620211</v>
      </c>
      <c r="AD187">
        <v>159.6335369239309</v>
      </c>
      <c r="AE187">
        <v>187.39589117157129</v>
      </c>
      <c r="AF187">
        <v>24.999999999999972</v>
      </c>
      <c r="AG187">
        <v>22.916666666666661</v>
      </c>
      <c r="AH187">
        <v>23.9583333333333</v>
      </c>
      <c r="AI187">
        <v>28.124999999999989</v>
      </c>
      <c r="AK187">
        <v>151.78571428571419</v>
      </c>
      <c r="AL187">
        <v>133.92857142857159</v>
      </c>
      <c r="AM187">
        <v>147.3214285714287</v>
      </c>
      <c r="AO187">
        <v>35.41666666666665</v>
      </c>
      <c r="AP187">
        <v>31.250000000000028</v>
      </c>
      <c r="AQ187">
        <v>34.375000000000021</v>
      </c>
    </row>
    <row r="188" spans="1:44" x14ac:dyDescent="0.2">
      <c r="A188">
        <v>122.2085005660183</v>
      </c>
      <c r="B188">
        <v>141.50457960275801</v>
      </c>
      <c r="C188">
        <v>173.66471133065761</v>
      </c>
      <c r="D188">
        <v>160.8006586394977</v>
      </c>
      <c r="E188">
        <v>19.791666666666661</v>
      </c>
      <c r="F188">
        <v>22.916666666666661</v>
      </c>
      <c r="G188">
        <v>28.125</v>
      </c>
      <c r="H188">
        <v>26.04166666666665</v>
      </c>
      <c r="J188">
        <v>150.6684198991893</v>
      </c>
      <c r="K188">
        <v>150.6684198991893</v>
      </c>
      <c r="L188">
        <v>164.36554898093351</v>
      </c>
      <c r="M188">
        <v>184.91124260355039</v>
      </c>
      <c r="N188">
        <v>22.916666666666689</v>
      </c>
      <c r="O188">
        <v>22.916666666666689</v>
      </c>
      <c r="P188">
        <v>24.999999999999979</v>
      </c>
      <c r="Q188">
        <v>28.125000000000011</v>
      </c>
      <c r="S188">
        <v>114.3292682926831</v>
      </c>
      <c r="T188">
        <v>130.6620209059233</v>
      </c>
      <c r="U188">
        <v>136.10627177700329</v>
      </c>
      <c r="V188">
        <v>130.6620209059233</v>
      </c>
      <c r="W188">
        <v>21.875000000000028</v>
      </c>
      <c r="X188">
        <v>24.999999999999989</v>
      </c>
      <c r="Y188">
        <v>26.041666666666622</v>
      </c>
      <c r="Z188">
        <v>24.999999999999989</v>
      </c>
      <c r="AB188">
        <v>180.4553026096614</v>
      </c>
      <c r="AC188">
        <v>138.81177123820089</v>
      </c>
      <c r="AD188">
        <v>173.51471404775111</v>
      </c>
      <c r="AE188">
        <v>173.51471404775111</v>
      </c>
      <c r="AF188">
        <v>27.08333333333335</v>
      </c>
      <c r="AG188">
        <v>20.833333333333311</v>
      </c>
      <c r="AH188">
        <v>26.041666666666639</v>
      </c>
      <c r="AI188">
        <v>26.041666666666639</v>
      </c>
      <c r="AK188">
        <v>125</v>
      </c>
      <c r="AL188">
        <v>138.39285714285711</v>
      </c>
      <c r="AM188">
        <v>156.25</v>
      </c>
      <c r="AO188">
        <v>29.166666666666671</v>
      </c>
      <c r="AP188">
        <v>32.291666666666657</v>
      </c>
      <c r="AQ188">
        <v>36.458333333333343</v>
      </c>
    </row>
    <row r="189" spans="1:44" x14ac:dyDescent="0.2">
      <c r="A189">
        <v>147.93660594833821</v>
      </c>
      <c r="B189">
        <v>147.93660594833821</v>
      </c>
      <c r="C189">
        <v>154.3686322939179</v>
      </c>
      <c r="D189">
        <v>180.09673767623741</v>
      </c>
      <c r="E189">
        <v>23.958333333333371</v>
      </c>
      <c r="F189">
        <v>23.958333333333371</v>
      </c>
      <c r="G189">
        <v>25.000000000000011</v>
      </c>
      <c r="H189">
        <v>29.166666666666639</v>
      </c>
      <c r="J189">
        <v>150.6684198991893</v>
      </c>
      <c r="K189">
        <v>136.9712908174447</v>
      </c>
      <c r="L189">
        <v>184.91124260355039</v>
      </c>
      <c r="M189">
        <v>171.21411352180581</v>
      </c>
      <c r="N189">
        <v>22.916666666666689</v>
      </c>
      <c r="O189">
        <v>20.833333333333339</v>
      </c>
      <c r="P189">
        <v>28.125000000000011</v>
      </c>
      <c r="Q189">
        <v>26.041666666666661</v>
      </c>
      <c r="S189">
        <v>125.2177700348434</v>
      </c>
      <c r="T189">
        <v>125.2177700348434</v>
      </c>
      <c r="U189">
        <v>136.10627177700329</v>
      </c>
      <c r="V189">
        <v>130.6620209059233</v>
      </c>
      <c r="W189">
        <v>23.958333333333371</v>
      </c>
      <c r="X189">
        <v>23.958333333333371</v>
      </c>
      <c r="Y189">
        <v>26.041666666666622</v>
      </c>
      <c r="Z189">
        <v>24.999999999999989</v>
      </c>
      <c r="AB189">
        <v>152.6929483620211</v>
      </c>
      <c r="AC189">
        <v>159.6335369239309</v>
      </c>
      <c r="AD189">
        <v>166.57412548584131</v>
      </c>
      <c r="AE189">
        <v>194.33647973348161</v>
      </c>
      <c r="AF189">
        <v>22.916666666666661</v>
      </c>
      <c r="AG189">
        <v>23.9583333333333</v>
      </c>
      <c r="AH189">
        <v>25</v>
      </c>
      <c r="AI189">
        <v>29.166666666666689</v>
      </c>
      <c r="AK189">
        <v>165.17857142857159</v>
      </c>
      <c r="AL189">
        <v>111.6071428571427</v>
      </c>
      <c r="AM189">
        <v>160.71428571428581</v>
      </c>
      <c r="AO189">
        <v>38.5416666666667</v>
      </c>
      <c r="AP189">
        <v>26.041666666666629</v>
      </c>
      <c r="AQ189">
        <v>37.500000000000007</v>
      </c>
    </row>
    <row r="190" spans="1:44" x14ac:dyDescent="0.2">
      <c r="A190">
        <v>147.9366059483377</v>
      </c>
      <c r="B190">
        <v>147.93660594833821</v>
      </c>
      <c r="C190">
        <v>154.3686322939175</v>
      </c>
      <c r="D190">
        <v>167.2326849850779</v>
      </c>
      <c r="E190">
        <v>23.9583333333333</v>
      </c>
      <c r="F190">
        <v>23.958333333333371</v>
      </c>
      <c r="G190">
        <v>24.99999999999994</v>
      </c>
      <c r="H190">
        <v>27.083333333333361</v>
      </c>
      <c r="J190">
        <v>157.51698444006121</v>
      </c>
      <c r="K190">
        <v>143.819855358317</v>
      </c>
      <c r="L190">
        <v>171.21411352180621</v>
      </c>
      <c r="M190">
        <v>191.75980714442269</v>
      </c>
      <c r="N190">
        <v>23.9583333333333</v>
      </c>
      <c r="O190">
        <v>21.875000000000011</v>
      </c>
      <c r="P190">
        <v>26.041666666666721</v>
      </c>
      <c r="Q190">
        <v>29.166666666666689</v>
      </c>
      <c r="S190">
        <v>141.55052264808359</v>
      </c>
      <c r="T190">
        <v>136.10627177700329</v>
      </c>
      <c r="U190">
        <v>114.3292682926831</v>
      </c>
      <c r="V190">
        <v>163.3275261324043</v>
      </c>
      <c r="W190">
        <v>27.083333333333339</v>
      </c>
      <c r="X190">
        <v>26.041666666666622</v>
      </c>
      <c r="Y190">
        <v>21.875000000000028</v>
      </c>
      <c r="Z190">
        <v>31.250000000000011</v>
      </c>
      <c r="AB190">
        <v>145.75235980011081</v>
      </c>
      <c r="AC190">
        <v>173.51471404775111</v>
      </c>
      <c r="AD190">
        <v>173.51471404775111</v>
      </c>
      <c r="AE190">
        <v>166.57412548584131</v>
      </c>
      <c r="AF190">
        <v>21.87499999999995</v>
      </c>
      <c r="AG190">
        <v>26.041666666666639</v>
      </c>
      <c r="AH190">
        <v>26.041666666666639</v>
      </c>
      <c r="AI190">
        <v>25</v>
      </c>
      <c r="AK190">
        <v>151.78571428571419</v>
      </c>
      <c r="AL190">
        <v>120.53571428571421</v>
      </c>
      <c r="AM190">
        <v>151.78571428571419</v>
      </c>
      <c r="AO190">
        <v>35.41666666666665</v>
      </c>
      <c r="AP190">
        <v>28.124999999999979</v>
      </c>
      <c r="AQ190">
        <v>35.41666666666665</v>
      </c>
    </row>
    <row r="191" spans="1:44" x14ac:dyDescent="0.2">
      <c r="A191">
        <v>109.3444478748588</v>
      </c>
      <c r="B191">
        <v>167.2326849850779</v>
      </c>
      <c r="C191">
        <v>167.2326849850779</v>
      </c>
      <c r="D191">
        <v>167.2326849850779</v>
      </c>
      <c r="E191">
        <v>17.708333333333389</v>
      </c>
      <c r="F191">
        <v>27.083333333333361</v>
      </c>
      <c r="G191">
        <v>27.083333333333361</v>
      </c>
      <c r="H191">
        <v>27.083333333333361</v>
      </c>
      <c r="J191">
        <v>150.66841989918879</v>
      </c>
      <c r="K191">
        <v>136.97129081744421</v>
      </c>
      <c r="L191">
        <v>184.91124260354991</v>
      </c>
      <c r="M191">
        <v>171.21411352180621</v>
      </c>
      <c r="N191">
        <v>22.916666666666629</v>
      </c>
      <c r="O191">
        <v>20.833333333333272</v>
      </c>
      <c r="P191">
        <v>28.12499999999994</v>
      </c>
      <c r="Q191">
        <v>26.041666666666721</v>
      </c>
      <c r="S191">
        <v>119.773519163763</v>
      </c>
      <c r="T191">
        <v>114.3292682926831</v>
      </c>
      <c r="U191">
        <v>141.55052264808359</v>
      </c>
      <c r="V191">
        <v>141.55052264808359</v>
      </c>
      <c r="W191">
        <v>22.91666666666665</v>
      </c>
      <c r="X191">
        <v>21.875000000000028</v>
      </c>
      <c r="Y191">
        <v>27.083333333333339</v>
      </c>
      <c r="Z191">
        <v>27.083333333333339</v>
      </c>
      <c r="AB191">
        <v>173.51471404775111</v>
      </c>
      <c r="AC191">
        <v>152.6929483620215</v>
      </c>
      <c r="AD191">
        <v>166.57412548584131</v>
      </c>
      <c r="AE191">
        <v>194.33647973348161</v>
      </c>
      <c r="AF191">
        <v>26.041666666666639</v>
      </c>
      <c r="AG191">
        <v>22.916666666666728</v>
      </c>
      <c r="AH191">
        <v>25</v>
      </c>
      <c r="AI191">
        <v>29.166666666666689</v>
      </c>
      <c r="AK191">
        <v>138.39285714285731</v>
      </c>
      <c r="AL191">
        <v>142.85714285714269</v>
      </c>
      <c r="AM191">
        <v>156.25</v>
      </c>
      <c r="AO191">
        <v>32.291666666666707</v>
      </c>
      <c r="AP191">
        <v>33.333333333333293</v>
      </c>
      <c r="AQ191">
        <v>36.458333333333343</v>
      </c>
    </row>
    <row r="192" spans="1:44" x14ac:dyDescent="0.2">
      <c r="A192">
        <v>135.07255325717779</v>
      </c>
      <c r="B192">
        <v>141.50457960275801</v>
      </c>
      <c r="C192">
        <v>173.66471133065721</v>
      </c>
      <c r="D192">
        <v>173.66471133065721</v>
      </c>
      <c r="E192">
        <v>21.87499999999994</v>
      </c>
      <c r="F192">
        <v>22.916666666666661</v>
      </c>
      <c r="G192">
        <v>28.124999999999929</v>
      </c>
      <c r="H192">
        <v>28.124999999999929</v>
      </c>
      <c r="J192">
        <v>164.36554898093351</v>
      </c>
      <c r="K192">
        <v>150.66841989918879</v>
      </c>
      <c r="L192">
        <v>178.06267806267809</v>
      </c>
      <c r="M192">
        <v>171.21411352180621</v>
      </c>
      <c r="N192">
        <v>24.999999999999979</v>
      </c>
      <c r="O192">
        <v>22.916666666666629</v>
      </c>
      <c r="P192">
        <v>27.083333333333329</v>
      </c>
      <c r="Q192">
        <v>26.041666666666721</v>
      </c>
      <c r="S192">
        <v>114.3292682926831</v>
      </c>
      <c r="T192">
        <v>130.66202090592381</v>
      </c>
      <c r="U192">
        <v>130.66202090592381</v>
      </c>
      <c r="V192">
        <v>130.66202090592381</v>
      </c>
      <c r="W192">
        <v>21.875000000000028</v>
      </c>
      <c r="X192">
        <v>25.000000000000082</v>
      </c>
      <c r="Y192">
        <v>25.000000000000082</v>
      </c>
      <c r="Z192">
        <v>25.000000000000082</v>
      </c>
      <c r="AB192">
        <v>173.51471404775111</v>
      </c>
      <c r="AC192">
        <v>124.93059411438119</v>
      </c>
      <c r="AD192">
        <v>187.39589117157169</v>
      </c>
      <c r="AE192">
        <v>166.57412548584131</v>
      </c>
      <c r="AF192">
        <v>26.041666666666639</v>
      </c>
      <c r="AG192">
        <v>18.750000000000039</v>
      </c>
      <c r="AH192">
        <v>28.12500000000006</v>
      </c>
      <c r="AI192">
        <v>25</v>
      </c>
      <c r="AK192">
        <v>93.75</v>
      </c>
      <c r="AL192">
        <v>165.17857142857159</v>
      </c>
      <c r="AM192">
        <v>160.71428571428581</v>
      </c>
      <c r="AO192">
        <v>21.875</v>
      </c>
      <c r="AP192">
        <v>38.5416666666667</v>
      </c>
      <c r="AQ192">
        <v>37.500000000000007</v>
      </c>
    </row>
    <row r="193" spans="1:44" x14ac:dyDescent="0.2">
      <c r="A193">
        <v>135.07255325717779</v>
      </c>
      <c r="B193">
        <v>141.50457960275801</v>
      </c>
      <c r="C193">
        <v>173.66471133065721</v>
      </c>
      <c r="D193">
        <v>167.2326849850779</v>
      </c>
      <c r="E193">
        <v>21.87499999999994</v>
      </c>
      <c r="F193">
        <v>22.916666666666661</v>
      </c>
      <c r="G193">
        <v>28.124999999999929</v>
      </c>
      <c r="H193">
        <v>27.083333333333361</v>
      </c>
      <c r="J193">
        <v>157.51698444006161</v>
      </c>
      <c r="K193">
        <v>136.97129081744421</v>
      </c>
      <c r="L193">
        <v>184.91124260354991</v>
      </c>
      <c r="M193">
        <v>164.36554898093351</v>
      </c>
      <c r="N193">
        <v>23.958333333333371</v>
      </c>
      <c r="O193">
        <v>20.833333333333272</v>
      </c>
      <c r="P193">
        <v>28.12499999999994</v>
      </c>
      <c r="Q193">
        <v>24.999999999999979</v>
      </c>
      <c r="S193">
        <v>125.2177700348429</v>
      </c>
      <c r="T193">
        <v>108.88501742160319</v>
      </c>
      <c r="U193">
        <v>141.55052264808359</v>
      </c>
      <c r="V193">
        <v>136.10627177700371</v>
      </c>
      <c r="W193">
        <v>23.958333333333279</v>
      </c>
      <c r="X193">
        <v>20.8333333333334</v>
      </c>
      <c r="Y193">
        <v>27.083333333333339</v>
      </c>
      <c r="Z193">
        <v>26.04166666666671</v>
      </c>
      <c r="AB193">
        <v>159.63353692393139</v>
      </c>
      <c r="AC193">
        <v>152.6929483620215</v>
      </c>
      <c r="AD193">
        <v>166.57412548584131</v>
      </c>
      <c r="AE193">
        <v>180.455302609661</v>
      </c>
      <c r="AF193">
        <v>23.958333333333361</v>
      </c>
      <c r="AG193">
        <v>22.916666666666728</v>
      </c>
      <c r="AH193">
        <v>25</v>
      </c>
      <c r="AI193">
        <v>27.083333333333279</v>
      </c>
      <c r="AK193">
        <v>165.17857142857159</v>
      </c>
      <c r="AL193">
        <v>116.0714285714284</v>
      </c>
      <c r="AM193">
        <v>156.25</v>
      </c>
      <c r="AO193">
        <v>38.5416666666667</v>
      </c>
      <c r="AP193">
        <v>27.0833333333333</v>
      </c>
      <c r="AQ193">
        <v>36.458333333333343</v>
      </c>
    </row>
    <row r="194" spans="1:44" x14ac:dyDescent="0.2">
      <c r="A194">
        <v>147.93660594833821</v>
      </c>
      <c r="B194">
        <v>122.2085005660183</v>
      </c>
      <c r="C194">
        <v>186.52876402181761</v>
      </c>
      <c r="D194">
        <v>167.2326849850779</v>
      </c>
      <c r="E194">
        <v>23.958333333333371</v>
      </c>
      <c r="F194">
        <v>19.791666666666661</v>
      </c>
      <c r="G194">
        <v>30.20833333333335</v>
      </c>
      <c r="H194">
        <v>27.083333333333361</v>
      </c>
      <c r="J194">
        <v>178.06267806267809</v>
      </c>
      <c r="K194">
        <v>136.97129081744421</v>
      </c>
      <c r="L194">
        <v>178.06267806267809</v>
      </c>
      <c r="M194">
        <v>184.91124260354991</v>
      </c>
      <c r="N194">
        <v>27.083333333333329</v>
      </c>
      <c r="O194">
        <v>20.833333333333272</v>
      </c>
      <c r="P194">
        <v>27.083333333333329</v>
      </c>
      <c r="Q194">
        <v>28.12499999999994</v>
      </c>
      <c r="S194">
        <v>130.66202090592381</v>
      </c>
      <c r="T194">
        <v>125.2177700348429</v>
      </c>
      <c r="U194">
        <v>130.66202090592381</v>
      </c>
      <c r="V194">
        <v>157.88327526132429</v>
      </c>
      <c r="W194">
        <v>25.000000000000082</v>
      </c>
      <c r="X194">
        <v>23.958333333333279</v>
      </c>
      <c r="Y194">
        <v>25.000000000000082</v>
      </c>
      <c r="Z194">
        <v>30.208333333333389</v>
      </c>
      <c r="AB194">
        <v>152.6929483620215</v>
      </c>
      <c r="AC194">
        <v>159.63353692393139</v>
      </c>
      <c r="AD194">
        <v>180.455302609661</v>
      </c>
      <c r="AE194">
        <v>166.57412548584131</v>
      </c>
      <c r="AF194">
        <v>22.916666666666728</v>
      </c>
      <c r="AG194">
        <v>23.958333333333361</v>
      </c>
      <c r="AH194">
        <v>27.083333333333279</v>
      </c>
      <c r="AI194">
        <v>25</v>
      </c>
      <c r="AK194">
        <v>151.7857142857147</v>
      </c>
      <c r="AL194">
        <v>120.5357142857147</v>
      </c>
      <c r="AM194">
        <v>147.32142857142841</v>
      </c>
      <c r="AO194">
        <v>35.416666666666757</v>
      </c>
      <c r="AP194">
        <v>28.125000000000099</v>
      </c>
      <c r="AQ194">
        <v>34.374999999999972</v>
      </c>
    </row>
    <row r="195" spans="1:44" x14ac:dyDescent="0.2">
      <c r="A195">
        <v>115.7764742204381</v>
      </c>
      <c r="B195">
        <v>147.93660594833821</v>
      </c>
      <c r="C195">
        <v>173.66471133065721</v>
      </c>
      <c r="D195">
        <v>167.2326849850779</v>
      </c>
      <c r="E195">
        <v>18.74999999999995</v>
      </c>
      <c r="F195">
        <v>23.958333333333371</v>
      </c>
      <c r="G195">
        <v>28.124999999999929</v>
      </c>
      <c r="H195">
        <v>27.083333333333361</v>
      </c>
      <c r="J195">
        <v>150.66841989918879</v>
      </c>
      <c r="K195">
        <v>143.819855358317</v>
      </c>
      <c r="L195">
        <v>184.91124260354991</v>
      </c>
      <c r="M195">
        <v>184.91124260354991</v>
      </c>
      <c r="N195">
        <v>22.916666666666629</v>
      </c>
      <c r="O195">
        <v>21.875000000000011</v>
      </c>
      <c r="P195">
        <v>28.12499999999994</v>
      </c>
      <c r="Q195">
        <v>28.12499999999994</v>
      </c>
      <c r="S195">
        <v>119.773519163763</v>
      </c>
      <c r="T195">
        <v>114.3292682926831</v>
      </c>
      <c r="U195">
        <v>146.9947735191636</v>
      </c>
      <c r="V195">
        <v>130.66202090592381</v>
      </c>
      <c r="W195">
        <v>22.91666666666665</v>
      </c>
      <c r="X195">
        <v>21.875000000000028</v>
      </c>
      <c r="Y195">
        <v>28.124999999999961</v>
      </c>
      <c r="Z195">
        <v>25.000000000000082</v>
      </c>
      <c r="AB195">
        <v>173.51471404775111</v>
      </c>
      <c r="AC195">
        <v>145.75235980011081</v>
      </c>
      <c r="AD195">
        <v>166.57412548584131</v>
      </c>
      <c r="AE195">
        <v>201.2770682953915</v>
      </c>
      <c r="AF195">
        <v>26.041666666666639</v>
      </c>
      <c r="AG195">
        <v>21.87499999999995</v>
      </c>
      <c r="AH195">
        <v>25</v>
      </c>
      <c r="AI195">
        <v>30.208333333333329</v>
      </c>
      <c r="AK195">
        <v>151.7857142857147</v>
      </c>
      <c r="AL195">
        <v>129.4642857142853</v>
      </c>
      <c r="AM195">
        <v>151.7857142857147</v>
      </c>
      <c r="AO195">
        <v>35.416666666666757</v>
      </c>
      <c r="AP195">
        <v>30.20833333333324</v>
      </c>
      <c r="AQ195">
        <v>35.416666666666757</v>
      </c>
    </row>
    <row r="196" spans="1:44" x14ac:dyDescent="0.2">
      <c r="A196">
        <v>135.07255325717779</v>
      </c>
      <c r="B196">
        <v>141.50457960275801</v>
      </c>
      <c r="C196">
        <v>173.66471133065721</v>
      </c>
      <c r="D196">
        <v>160.8006586394977</v>
      </c>
      <c r="E196">
        <v>21.87499999999994</v>
      </c>
      <c r="F196">
        <v>22.916666666666661</v>
      </c>
      <c r="G196">
        <v>28.124999999999929</v>
      </c>
      <c r="H196">
        <v>26.04166666666665</v>
      </c>
      <c r="J196">
        <v>150.66841989918879</v>
      </c>
      <c r="K196">
        <v>150.66841989918879</v>
      </c>
      <c r="L196">
        <v>178.06267806267721</v>
      </c>
      <c r="M196">
        <v>191.75980714442269</v>
      </c>
      <c r="N196">
        <v>22.916666666666629</v>
      </c>
      <c r="O196">
        <v>22.916666666666629</v>
      </c>
      <c r="P196">
        <v>27.08333333333319</v>
      </c>
      <c r="Q196">
        <v>29.166666666666689</v>
      </c>
      <c r="S196">
        <v>103.4407665505223</v>
      </c>
      <c r="T196">
        <v>141.55052264808359</v>
      </c>
      <c r="U196">
        <v>141.55052264808359</v>
      </c>
      <c r="V196">
        <v>141.55052264808359</v>
      </c>
      <c r="W196">
        <v>19.7916666666666</v>
      </c>
      <c r="X196">
        <v>27.083333333333339</v>
      </c>
      <c r="Y196">
        <v>27.083333333333339</v>
      </c>
      <c r="Z196">
        <v>27.083333333333339</v>
      </c>
      <c r="AB196">
        <v>159.63353692393051</v>
      </c>
      <c r="AC196">
        <v>145.75235980011169</v>
      </c>
      <c r="AD196">
        <v>166.57412548584031</v>
      </c>
      <c r="AE196">
        <v>187.39589117157081</v>
      </c>
      <c r="AF196">
        <v>23.958333333333229</v>
      </c>
      <c r="AG196">
        <v>21.875000000000089</v>
      </c>
      <c r="AH196">
        <v>24.999999999999869</v>
      </c>
      <c r="AI196">
        <v>28.124999999999918</v>
      </c>
      <c r="AK196">
        <v>125</v>
      </c>
      <c r="AL196">
        <v>142.85714285714309</v>
      </c>
      <c r="AM196">
        <v>156.25</v>
      </c>
      <c r="AO196">
        <v>29.166666666666671</v>
      </c>
      <c r="AP196">
        <v>33.333333333333393</v>
      </c>
      <c r="AQ196">
        <v>36.458333333333343</v>
      </c>
    </row>
    <row r="197" spans="1:44" x14ac:dyDescent="0.2">
      <c r="A197">
        <v>141.50457960275801</v>
      </c>
      <c r="B197">
        <v>147.9366059483373</v>
      </c>
      <c r="C197">
        <v>167.2326849850779</v>
      </c>
      <c r="D197">
        <v>180.09673767623829</v>
      </c>
      <c r="E197">
        <v>22.916666666666661</v>
      </c>
      <c r="F197">
        <v>23.958333333333218</v>
      </c>
      <c r="G197">
        <v>27.083333333333361</v>
      </c>
      <c r="H197">
        <v>29.166666666666789</v>
      </c>
      <c r="J197">
        <v>136.97129081744421</v>
      </c>
      <c r="K197">
        <v>143.819855358317</v>
      </c>
      <c r="L197">
        <v>184.91124260354991</v>
      </c>
      <c r="M197">
        <v>178.06267806267721</v>
      </c>
      <c r="N197">
        <v>20.833333333333272</v>
      </c>
      <c r="O197">
        <v>21.875000000000011</v>
      </c>
      <c r="P197">
        <v>28.12499999999994</v>
      </c>
      <c r="Q197">
        <v>27.08333333333319</v>
      </c>
      <c r="S197">
        <v>136.10627177700371</v>
      </c>
      <c r="T197">
        <v>97.996515679442382</v>
      </c>
      <c r="U197">
        <v>168.7717770034842</v>
      </c>
      <c r="V197">
        <v>103.4407665505223</v>
      </c>
      <c r="W197">
        <v>26.04166666666671</v>
      </c>
      <c r="X197">
        <v>18.749999999999979</v>
      </c>
      <c r="Y197">
        <v>32.291666666666643</v>
      </c>
      <c r="Z197">
        <v>19.7916666666666</v>
      </c>
      <c r="AB197">
        <v>152.69294836202059</v>
      </c>
      <c r="AC197">
        <v>159.63353692393139</v>
      </c>
      <c r="AD197">
        <v>166.57412548584031</v>
      </c>
      <c r="AE197">
        <v>180.45530260966191</v>
      </c>
      <c r="AF197">
        <v>22.91666666666659</v>
      </c>
      <c r="AG197">
        <v>23.958333333333361</v>
      </c>
      <c r="AH197">
        <v>24.999999999999869</v>
      </c>
      <c r="AI197">
        <v>27.083333333333421</v>
      </c>
      <c r="AK197">
        <v>160.7142857142853</v>
      </c>
      <c r="AL197">
        <v>107.1428571428569</v>
      </c>
      <c r="AM197">
        <v>169.64285714285691</v>
      </c>
      <c r="AO197">
        <v>37.499999999999908</v>
      </c>
      <c r="AP197">
        <v>24.99999999999994</v>
      </c>
      <c r="AQ197">
        <v>39.583333333333279</v>
      </c>
    </row>
    <row r="198" spans="1:44" x14ac:dyDescent="0.2">
      <c r="A198">
        <v>141.50457960275889</v>
      </c>
      <c r="B198">
        <v>128.6405269115985</v>
      </c>
      <c r="C198">
        <v>173.66471133065721</v>
      </c>
      <c r="D198">
        <v>167.2326849850779</v>
      </c>
      <c r="E198">
        <v>22.916666666666799</v>
      </c>
      <c r="F198">
        <v>20.833333333333378</v>
      </c>
      <c r="G198">
        <v>28.124999999999929</v>
      </c>
      <c r="H198">
        <v>27.083333333333361</v>
      </c>
      <c r="J198">
        <v>157.5169844400607</v>
      </c>
      <c r="K198">
        <v>136.97129081744421</v>
      </c>
      <c r="L198">
        <v>191.75980714442269</v>
      </c>
      <c r="M198">
        <v>184.91124260354991</v>
      </c>
      <c r="N198">
        <v>23.958333333333229</v>
      </c>
      <c r="O198">
        <v>20.833333333333272</v>
      </c>
      <c r="P198">
        <v>29.166666666666689</v>
      </c>
      <c r="Q198">
        <v>28.12499999999994</v>
      </c>
      <c r="S198">
        <v>136.10627177700371</v>
      </c>
      <c r="T198">
        <v>130.66202090592381</v>
      </c>
      <c r="U198">
        <v>103.4407665505223</v>
      </c>
      <c r="V198">
        <v>185.1045296167249</v>
      </c>
      <c r="W198">
        <v>26.04166666666671</v>
      </c>
      <c r="X198">
        <v>25.000000000000082</v>
      </c>
      <c r="Y198">
        <v>19.7916666666666</v>
      </c>
      <c r="Z198">
        <v>35.416666666666693</v>
      </c>
      <c r="AB198">
        <v>152.69294836202059</v>
      </c>
      <c r="AC198">
        <v>166.57412548584031</v>
      </c>
      <c r="AD198">
        <v>173.51471404775111</v>
      </c>
      <c r="AE198">
        <v>166.57412548584031</v>
      </c>
      <c r="AF198">
        <v>22.91666666666659</v>
      </c>
      <c r="AG198">
        <v>24.999999999999869</v>
      </c>
      <c r="AH198">
        <v>26.041666666666639</v>
      </c>
      <c r="AI198">
        <v>24.999999999999869</v>
      </c>
      <c r="AK198">
        <v>151.7857142857147</v>
      </c>
      <c r="AL198">
        <v>116.0714285714284</v>
      </c>
      <c r="AM198">
        <v>151.7857142857147</v>
      </c>
      <c r="AO198">
        <v>35.416666666666757</v>
      </c>
      <c r="AP198">
        <v>27.0833333333333</v>
      </c>
      <c r="AQ198">
        <v>35.416666666666757</v>
      </c>
    </row>
    <row r="199" spans="1:44" x14ac:dyDescent="0.2">
      <c r="A199">
        <v>128.6405269115985</v>
      </c>
      <c r="B199">
        <v>147.93660594833821</v>
      </c>
      <c r="C199">
        <v>160.80065863949861</v>
      </c>
      <c r="D199">
        <v>147.93660594833821</v>
      </c>
      <c r="E199">
        <v>20.833333333333378</v>
      </c>
      <c r="F199">
        <v>23.958333333333371</v>
      </c>
      <c r="G199">
        <v>26.041666666666799</v>
      </c>
      <c r="H199">
        <v>23.958333333333371</v>
      </c>
      <c r="J199">
        <v>143.819855358317</v>
      </c>
      <c r="K199">
        <v>157.5169844400607</v>
      </c>
      <c r="L199">
        <v>178.06267806267721</v>
      </c>
      <c r="M199">
        <v>178.06267806268619</v>
      </c>
      <c r="N199">
        <v>21.875000000000011</v>
      </c>
      <c r="O199">
        <v>23.958333333333229</v>
      </c>
      <c r="P199">
        <v>27.08333333333319</v>
      </c>
      <c r="Q199">
        <v>27.083333333334579</v>
      </c>
      <c r="S199">
        <v>108.88501742160319</v>
      </c>
      <c r="T199">
        <v>103.4407665505223</v>
      </c>
      <c r="U199">
        <v>146.9947735191636</v>
      </c>
      <c r="V199">
        <v>141.5505226480818</v>
      </c>
      <c r="W199">
        <v>20.8333333333334</v>
      </c>
      <c r="X199">
        <v>19.7916666666666</v>
      </c>
      <c r="Y199">
        <v>28.124999999999961</v>
      </c>
      <c r="Z199">
        <v>27.083333333332991</v>
      </c>
      <c r="AB199">
        <v>152.69294836202059</v>
      </c>
      <c r="AC199">
        <v>180.45530260966191</v>
      </c>
      <c r="AD199">
        <v>166.57412548584031</v>
      </c>
      <c r="AE199">
        <v>145.75235980011709</v>
      </c>
      <c r="AF199">
        <v>22.91666666666659</v>
      </c>
      <c r="AG199">
        <v>27.083333333333421</v>
      </c>
      <c r="AH199">
        <v>24.999999999999869</v>
      </c>
      <c r="AI199">
        <v>21.875000000000909</v>
      </c>
      <c r="AK199">
        <v>133.92857142857159</v>
      </c>
      <c r="AL199">
        <v>138.39285714285691</v>
      </c>
      <c r="AM199">
        <v>151.78571428571291</v>
      </c>
      <c r="AO199">
        <v>31.250000000000028</v>
      </c>
      <c r="AP199">
        <v>32.291666666666607</v>
      </c>
      <c r="AQ199">
        <v>35.416666666666337</v>
      </c>
    </row>
    <row r="200" spans="1:44" ht="31" x14ac:dyDescent="0.35">
      <c r="A200" s="3"/>
    </row>
    <row r="201" spans="1:44" ht="31" x14ac:dyDescent="0.35">
      <c r="A201" s="12" t="s">
        <v>87</v>
      </c>
      <c r="B201" s="13"/>
      <c r="C201" s="13"/>
      <c r="D201" s="13"/>
      <c r="E201" s="13"/>
      <c r="F201" s="13"/>
      <c r="G201" s="13"/>
      <c r="H201" s="13"/>
      <c r="J201" s="9" t="s">
        <v>68</v>
      </c>
      <c r="K201" s="10"/>
      <c r="L201" s="10"/>
      <c r="M201" s="10"/>
      <c r="N201" s="10"/>
      <c r="O201" s="10"/>
      <c r="P201" s="10"/>
      <c r="Q201" s="10"/>
      <c r="S201" s="1" t="s">
        <v>99</v>
      </c>
      <c r="T201" s="2"/>
      <c r="U201" s="2"/>
      <c r="V201" s="2"/>
      <c r="W201" s="2"/>
      <c r="X201" s="2"/>
      <c r="Y201" s="2"/>
      <c r="Z201" s="2"/>
      <c r="AB201" s="14" t="s">
        <v>127</v>
      </c>
      <c r="AC201" s="15"/>
      <c r="AD201" s="15"/>
      <c r="AE201" s="15"/>
      <c r="AF201" s="15"/>
      <c r="AG201" s="15"/>
      <c r="AH201" s="15"/>
      <c r="AI201" s="15"/>
      <c r="AK201" s="16" t="s">
        <v>150</v>
      </c>
      <c r="AL201" s="17"/>
      <c r="AM201" s="17"/>
      <c r="AN201" s="17"/>
      <c r="AO201" s="17"/>
      <c r="AP201" s="17"/>
      <c r="AQ201" s="18"/>
      <c r="AR201" s="17"/>
    </row>
    <row r="202" spans="1:44" ht="31" x14ac:dyDescent="0.35">
      <c r="A202" s="3" t="s">
        <v>2</v>
      </c>
      <c r="E202" s="7"/>
      <c r="F202" s="6" t="s">
        <v>88</v>
      </c>
      <c r="G202" s="6"/>
      <c r="H202" s="6"/>
      <c r="J202" s="3" t="s">
        <v>2</v>
      </c>
      <c r="N202" s="23" t="s">
        <v>18</v>
      </c>
      <c r="O202" s="6" t="s">
        <v>67</v>
      </c>
      <c r="P202" s="6"/>
      <c r="Q202" s="6"/>
      <c r="S202" s="3" t="s">
        <v>2</v>
      </c>
      <c r="W202" s="23" t="s">
        <v>18</v>
      </c>
      <c r="X202" s="24" t="s">
        <v>94</v>
      </c>
      <c r="AB202" s="3" t="s">
        <v>2</v>
      </c>
      <c r="AF202" s="23" t="s">
        <v>18</v>
      </c>
      <c r="AG202" s="24" t="s">
        <v>128</v>
      </c>
      <c r="AH202" s="19"/>
      <c r="AI202" s="19"/>
      <c r="AK202" s="3" t="s">
        <v>2</v>
      </c>
      <c r="AO202" s="6" t="s">
        <v>3</v>
      </c>
      <c r="AP202" s="6" t="s">
        <v>144</v>
      </c>
      <c r="AQ202" s="6"/>
      <c r="AR202" s="6"/>
    </row>
    <row r="203" spans="1:44" x14ac:dyDescent="0.2">
      <c r="A203" s="7">
        <v>1</v>
      </c>
      <c r="B203" s="6">
        <v>2</v>
      </c>
      <c r="C203" s="6">
        <v>3</v>
      </c>
      <c r="D203" s="6">
        <v>4</v>
      </c>
      <c r="E203" s="7">
        <v>1</v>
      </c>
      <c r="F203" s="6">
        <v>2</v>
      </c>
      <c r="G203" s="6">
        <v>3</v>
      </c>
      <c r="H203" s="6">
        <v>4</v>
      </c>
      <c r="J203" s="7">
        <v>1</v>
      </c>
      <c r="K203" s="6">
        <v>2</v>
      </c>
      <c r="L203" s="6">
        <v>3</v>
      </c>
      <c r="M203" s="6">
        <v>4</v>
      </c>
      <c r="N203" s="7">
        <v>1</v>
      </c>
      <c r="O203" s="6">
        <v>2</v>
      </c>
      <c r="P203" s="6">
        <v>3</v>
      </c>
      <c r="Q203" s="6">
        <v>4</v>
      </c>
      <c r="S203" s="7">
        <v>1</v>
      </c>
      <c r="T203" s="6">
        <v>2</v>
      </c>
      <c r="U203" s="6">
        <v>3</v>
      </c>
      <c r="V203" s="6">
        <v>4</v>
      </c>
      <c r="W203" s="7">
        <v>1</v>
      </c>
      <c r="X203" s="6">
        <v>2</v>
      </c>
      <c r="Y203" s="6">
        <v>3</v>
      </c>
      <c r="Z203" s="6">
        <v>4</v>
      </c>
      <c r="AB203" s="7">
        <v>1</v>
      </c>
      <c r="AC203" s="6">
        <v>2</v>
      </c>
      <c r="AD203" s="6">
        <v>3</v>
      </c>
      <c r="AE203" s="6">
        <v>4</v>
      </c>
      <c r="AF203" s="7">
        <v>1</v>
      </c>
      <c r="AG203" s="6">
        <v>2</v>
      </c>
      <c r="AH203" s="6">
        <v>3</v>
      </c>
      <c r="AI203" s="6">
        <v>4</v>
      </c>
      <c r="AK203" s="7">
        <v>1</v>
      </c>
      <c r="AL203" s="6">
        <v>2</v>
      </c>
      <c r="AM203" s="6">
        <v>3</v>
      </c>
      <c r="AN203" s="6">
        <v>4</v>
      </c>
      <c r="AO203" s="7">
        <v>1</v>
      </c>
      <c r="AP203" s="6">
        <v>2</v>
      </c>
      <c r="AQ203" s="6">
        <v>3</v>
      </c>
      <c r="AR203" s="6">
        <v>4</v>
      </c>
    </row>
    <row r="204" spans="1:44" x14ac:dyDescent="0.2">
      <c r="A204">
        <v>135.10338345864659</v>
      </c>
      <c r="B204">
        <v>135.10338345864659</v>
      </c>
      <c r="C204">
        <v>152.72556390977451</v>
      </c>
      <c r="D204">
        <v>152.72556390977451</v>
      </c>
      <c r="E204">
        <v>23.958333333333329</v>
      </c>
      <c r="F204">
        <v>23.958333333333329</v>
      </c>
      <c r="G204">
        <v>27.083333333333329</v>
      </c>
      <c r="H204">
        <v>27.083333333333329</v>
      </c>
      <c r="J204">
        <v>138.79892662163411</v>
      </c>
      <c r="K204">
        <v>138.79892662163411</v>
      </c>
      <c r="L204">
        <v>156.1487924493384</v>
      </c>
      <c r="M204">
        <v>144.58221523086891</v>
      </c>
      <c r="N204">
        <v>25.000000000000011</v>
      </c>
      <c r="O204">
        <v>25.000000000000011</v>
      </c>
      <c r="P204">
        <v>28.125</v>
      </c>
      <c r="Q204">
        <v>26.041666666666671</v>
      </c>
      <c r="S204">
        <v>87.412587412587428</v>
      </c>
      <c r="T204">
        <v>135.975135975136</v>
      </c>
      <c r="U204">
        <v>92.268842268842263</v>
      </c>
      <c r="V204">
        <v>155.4001554001554</v>
      </c>
      <c r="W204">
        <v>18.75</v>
      </c>
      <c r="X204">
        <v>29.166666666666679</v>
      </c>
      <c r="Y204">
        <v>19.791666666666671</v>
      </c>
      <c r="Z204">
        <v>33.333333333333343</v>
      </c>
      <c r="AB204">
        <v>194.20903954802259</v>
      </c>
      <c r="AC204">
        <v>220.69209039548019</v>
      </c>
      <c r="AD204">
        <v>229.5197740112994</v>
      </c>
      <c r="AE204">
        <v>220.69209039548019</v>
      </c>
      <c r="AF204">
        <v>22.916666666666671</v>
      </c>
      <c r="AG204">
        <v>26.041666666666661</v>
      </c>
      <c r="AH204">
        <v>27.083333333333329</v>
      </c>
      <c r="AI204">
        <v>26.041666666666671</v>
      </c>
      <c r="AK204">
        <v>149.03846153846149</v>
      </c>
      <c r="AL204">
        <v>144.2307692307692</v>
      </c>
      <c r="AM204">
        <v>182.69230769230771</v>
      </c>
      <c r="AO204">
        <v>32.291666666666657</v>
      </c>
      <c r="AP204">
        <v>31.249999999999989</v>
      </c>
      <c r="AQ204">
        <v>39.583333333333329</v>
      </c>
    </row>
    <row r="205" spans="1:44" x14ac:dyDescent="0.2">
      <c r="A205">
        <v>129.22932330827061</v>
      </c>
      <c r="B205">
        <v>135.10338345864659</v>
      </c>
      <c r="C205">
        <v>146.8515037593985</v>
      </c>
      <c r="D205">
        <v>164.47368421052639</v>
      </c>
      <c r="E205">
        <v>22.916666666666661</v>
      </c>
      <c r="F205">
        <v>23.958333333333329</v>
      </c>
      <c r="G205">
        <v>26.041666666666661</v>
      </c>
      <c r="H205">
        <v>29.166666666666671</v>
      </c>
      <c r="J205">
        <v>121.4490607939299</v>
      </c>
      <c r="K205">
        <v>144.58221523086891</v>
      </c>
      <c r="L205">
        <v>156.1487924493384</v>
      </c>
      <c r="M205">
        <v>144.582215230869</v>
      </c>
      <c r="N205">
        <v>21.875000000000011</v>
      </c>
      <c r="O205">
        <v>26.041666666666671</v>
      </c>
      <c r="P205">
        <v>28.125000000000011</v>
      </c>
      <c r="Q205">
        <v>26.041666666666689</v>
      </c>
      <c r="S205">
        <v>101.98135198135201</v>
      </c>
      <c r="T205">
        <v>106.8376068376068</v>
      </c>
      <c r="U205">
        <v>121.40637140637141</v>
      </c>
      <c r="V205">
        <v>116.5501165501166</v>
      </c>
      <c r="W205">
        <v>21.875</v>
      </c>
      <c r="X205">
        <v>22.916666666666661</v>
      </c>
      <c r="Y205">
        <v>26.041666666666661</v>
      </c>
      <c r="Z205">
        <v>25.000000000000011</v>
      </c>
      <c r="AB205">
        <v>194.20903954802259</v>
      </c>
      <c r="AC205">
        <v>220.69209039548011</v>
      </c>
      <c r="AD205">
        <v>220.69209039548011</v>
      </c>
      <c r="AE205">
        <v>220.69209039548011</v>
      </c>
      <c r="AF205">
        <v>22.916666666666661</v>
      </c>
      <c r="AG205">
        <v>26.04166666666665</v>
      </c>
      <c r="AH205">
        <v>26.04166666666665</v>
      </c>
      <c r="AI205">
        <v>26.04166666666665</v>
      </c>
      <c r="AK205">
        <v>173.07692307692301</v>
      </c>
      <c r="AL205">
        <v>144.23076923076931</v>
      </c>
      <c r="AM205">
        <v>149.03846153846149</v>
      </c>
      <c r="AO205">
        <v>37.499999999999993</v>
      </c>
      <c r="AP205">
        <v>31.250000000000011</v>
      </c>
      <c r="AQ205">
        <v>32.291666666666671</v>
      </c>
    </row>
    <row r="206" spans="1:44" x14ac:dyDescent="0.2">
      <c r="A206">
        <v>129.22932330827081</v>
      </c>
      <c r="B206">
        <v>129.22932330827081</v>
      </c>
      <c r="C206">
        <v>140.9774436090224</v>
      </c>
      <c r="D206">
        <v>164.47368421052619</v>
      </c>
      <c r="E206">
        <v>22.916666666666679</v>
      </c>
      <c r="F206">
        <v>22.916666666666679</v>
      </c>
      <c r="G206">
        <v>24.999999999999979</v>
      </c>
      <c r="H206">
        <v>29.16666666666665</v>
      </c>
      <c r="J206">
        <v>133.01563801239939</v>
      </c>
      <c r="K206">
        <v>133.01563801239939</v>
      </c>
      <c r="L206">
        <v>156.14879244933829</v>
      </c>
      <c r="M206">
        <v>144.582215230869</v>
      </c>
      <c r="N206">
        <v>23.95833333333335</v>
      </c>
      <c r="O206">
        <v>23.95833333333335</v>
      </c>
      <c r="P206">
        <v>28.124999999999989</v>
      </c>
      <c r="Q206">
        <v>26.041666666666689</v>
      </c>
      <c r="S206">
        <v>111.69386169386171</v>
      </c>
      <c r="T206">
        <v>111.69386169386171</v>
      </c>
      <c r="U206">
        <v>140.83139083139079</v>
      </c>
      <c r="V206">
        <v>121.40637140637141</v>
      </c>
      <c r="W206">
        <v>23.958333333333329</v>
      </c>
      <c r="X206">
        <v>23.958333333333329</v>
      </c>
      <c r="Y206">
        <v>30.208333333333321</v>
      </c>
      <c r="Z206">
        <v>26.041666666666661</v>
      </c>
      <c r="AB206">
        <v>185.38135593220341</v>
      </c>
      <c r="AC206">
        <v>247.175141242938</v>
      </c>
      <c r="AD206">
        <v>203.036723163842</v>
      </c>
      <c r="AE206">
        <v>220.69209039548011</v>
      </c>
      <c r="AF206">
        <v>21.875</v>
      </c>
      <c r="AG206">
        <v>29.166666666666689</v>
      </c>
      <c r="AH206">
        <v>23.95833333333335</v>
      </c>
      <c r="AI206">
        <v>26.04166666666665</v>
      </c>
      <c r="AK206">
        <v>115.3846153846154</v>
      </c>
      <c r="AL206">
        <v>110.57692307692309</v>
      </c>
      <c r="AM206">
        <v>105.7692307692307</v>
      </c>
      <c r="AN206">
        <v>110.57692307692309</v>
      </c>
      <c r="AO206">
        <v>24.999999999999989</v>
      </c>
      <c r="AP206">
        <v>23.958333333333339</v>
      </c>
      <c r="AQ206">
        <v>22.91666666666665</v>
      </c>
      <c r="AR206">
        <v>23.958333333333339</v>
      </c>
    </row>
    <row r="207" spans="1:44" x14ac:dyDescent="0.2">
      <c r="A207">
        <v>123.3552631578948</v>
      </c>
      <c r="B207">
        <v>123.3552631578948</v>
      </c>
      <c r="C207">
        <v>164.47368421052619</v>
      </c>
      <c r="D207">
        <v>158.59962406015029</v>
      </c>
      <c r="E207">
        <v>21.875000000000011</v>
      </c>
      <c r="F207">
        <v>21.875000000000011</v>
      </c>
      <c r="G207">
        <v>29.16666666666665</v>
      </c>
      <c r="H207">
        <v>28.124999999999979</v>
      </c>
      <c r="J207">
        <v>127.2323494031646</v>
      </c>
      <c r="K207">
        <v>133.01563801239939</v>
      </c>
      <c r="L207">
        <v>133.01563801239919</v>
      </c>
      <c r="M207">
        <v>161.9320810585732</v>
      </c>
      <c r="N207">
        <v>22.916666666666661</v>
      </c>
      <c r="O207">
        <v>23.95833333333335</v>
      </c>
      <c r="P207">
        <v>23.958333333333311</v>
      </c>
      <c r="Q207">
        <v>29.166666666666679</v>
      </c>
      <c r="S207">
        <v>111.69386169386171</v>
      </c>
      <c r="T207">
        <v>111.69386169386171</v>
      </c>
      <c r="U207">
        <v>126.2626262626263</v>
      </c>
      <c r="V207">
        <v>121.40637140637141</v>
      </c>
      <c r="W207">
        <v>23.958333333333329</v>
      </c>
      <c r="X207">
        <v>23.958333333333329</v>
      </c>
      <c r="Y207">
        <v>27.08333333333335</v>
      </c>
      <c r="Z207">
        <v>26.041666666666661</v>
      </c>
      <c r="AB207">
        <v>211.86440677966081</v>
      </c>
      <c r="AC207">
        <v>211.86440677966081</v>
      </c>
      <c r="AD207">
        <v>211.86440677966081</v>
      </c>
      <c r="AE207">
        <v>229.5197740112994</v>
      </c>
      <c r="AF207">
        <v>24.999999999999979</v>
      </c>
      <c r="AG207">
        <v>24.999999999999979</v>
      </c>
      <c r="AH207">
        <v>24.999999999999979</v>
      </c>
      <c r="AI207">
        <v>27.083333333333329</v>
      </c>
      <c r="AK207">
        <v>158.65384615384619</v>
      </c>
      <c r="AL207">
        <v>158.65384615384619</v>
      </c>
      <c r="AM207">
        <v>144.23076923076931</v>
      </c>
      <c r="AO207">
        <v>34.375000000000007</v>
      </c>
      <c r="AP207">
        <v>34.375000000000007</v>
      </c>
      <c r="AQ207">
        <v>31.250000000000011</v>
      </c>
    </row>
    <row r="208" spans="1:44" x14ac:dyDescent="0.2">
      <c r="A208">
        <v>123.3552631578946</v>
      </c>
      <c r="B208">
        <v>123.3552631578946</v>
      </c>
      <c r="C208">
        <v>158.59962406015029</v>
      </c>
      <c r="D208">
        <v>158.59962406015029</v>
      </c>
      <c r="E208">
        <v>21.874999999999972</v>
      </c>
      <c r="F208">
        <v>21.874999999999972</v>
      </c>
      <c r="G208">
        <v>28.124999999999979</v>
      </c>
      <c r="H208">
        <v>28.124999999999979</v>
      </c>
      <c r="J208">
        <v>121.4490607939297</v>
      </c>
      <c r="K208">
        <v>144.5822152308688</v>
      </c>
      <c r="L208">
        <v>138.79892662163411</v>
      </c>
      <c r="M208">
        <v>161.9320810585732</v>
      </c>
      <c r="N208">
        <v>21.874999999999972</v>
      </c>
      <c r="O208">
        <v>26.04166666666665</v>
      </c>
      <c r="P208">
        <v>25</v>
      </c>
      <c r="Q208">
        <v>29.166666666666679</v>
      </c>
      <c r="S208">
        <v>97.125097125097227</v>
      </c>
      <c r="T208">
        <v>121.40637140637141</v>
      </c>
      <c r="U208">
        <v>126.2626262626263</v>
      </c>
      <c r="V208">
        <v>116.5501165501164</v>
      </c>
      <c r="W208">
        <v>20.833333333333361</v>
      </c>
      <c r="X208">
        <v>26.041666666666661</v>
      </c>
      <c r="Y208">
        <v>27.08333333333335</v>
      </c>
      <c r="Z208">
        <v>24.999999999999972</v>
      </c>
      <c r="AB208">
        <v>211.86440677966081</v>
      </c>
      <c r="AC208">
        <v>211.86440677966081</v>
      </c>
      <c r="AD208">
        <v>211.86440677966081</v>
      </c>
      <c r="AE208">
        <v>229.5197740112994</v>
      </c>
      <c r="AF208">
        <v>24.999999999999979</v>
      </c>
      <c r="AG208">
        <v>24.999999999999979</v>
      </c>
      <c r="AH208">
        <v>24.999999999999979</v>
      </c>
      <c r="AI208">
        <v>27.083333333333329</v>
      </c>
      <c r="AK208">
        <v>110.57692307692309</v>
      </c>
      <c r="AL208">
        <v>110.57692307692309</v>
      </c>
      <c r="AM208">
        <v>72.115384615384755</v>
      </c>
      <c r="AN208">
        <v>177.88461538461519</v>
      </c>
      <c r="AO208">
        <v>23.958333333333339</v>
      </c>
      <c r="AP208">
        <v>23.958333333333339</v>
      </c>
      <c r="AQ208">
        <v>15.62500000000003</v>
      </c>
      <c r="AR208">
        <v>38.541666666666643</v>
      </c>
    </row>
    <row r="209" spans="1:44" x14ac:dyDescent="0.2">
      <c r="A209">
        <v>123.3552631578946</v>
      </c>
      <c r="B209">
        <v>123.3552631578946</v>
      </c>
      <c r="C209">
        <v>164.47368421052619</v>
      </c>
      <c r="D209">
        <v>152.72556390977431</v>
      </c>
      <c r="E209">
        <v>21.874999999999972</v>
      </c>
      <c r="F209">
        <v>21.874999999999972</v>
      </c>
      <c r="G209">
        <v>29.16666666666665</v>
      </c>
      <c r="H209">
        <v>27.083333333333311</v>
      </c>
      <c r="J209">
        <v>115.665772184695</v>
      </c>
      <c r="K209">
        <v>138.79892662163411</v>
      </c>
      <c r="L209">
        <v>144.5822152308688</v>
      </c>
      <c r="M209">
        <v>173.49865827704249</v>
      </c>
      <c r="N209">
        <v>20.833333333333321</v>
      </c>
      <c r="O209">
        <v>25</v>
      </c>
      <c r="P209">
        <v>26.04166666666665</v>
      </c>
      <c r="Q209">
        <v>31.249999999999979</v>
      </c>
      <c r="S209">
        <v>92.268842268842491</v>
      </c>
      <c r="T209">
        <v>126.2626262626263</v>
      </c>
      <c r="U209">
        <v>126.2626262626263</v>
      </c>
      <c r="V209">
        <v>126.2626262626263</v>
      </c>
      <c r="W209">
        <v>19.79166666666671</v>
      </c>
      <c r="X209">
        <v>27.08333333333335</v>
      </c>
      <c r="Y209">
        <v>27.08333333333335</v>
      </c>
      <c r="Z209">
        <v>27.08333333333335</v>
      </c>
      <c r="AB209">
        <v>203.036723163842</v>
      </c>
      <c r="AC209">
        <v>211.86440677966129</v>
      </c>
      <c r="AD209">
        <v>211.86440677966129</v>
      </c>
      <c r="AE209">
        <v>211.86440677966129</v>
      </c>
      <c r="AF209">
        <v>23.95833333333335</v>
      </c>
      <c r="AG209">
        <v>25.000000000000028</v>
      </c>
      <c r="AH209">
        <v>25.000000000000028</v>
      </c>
      <c r="AI209">
        <v>25.000000000000028</v>
      </c>
      <c r="AK209">
        <v>177.88461538461519</v>
      </c>
      <c r="AL209">
        <v>139.4230769230771</v>
      </c>
      <c r="AM209">
        <v>144.23076923076911</v>
      </c>
      <c r="AO209">
        <v>38.541666666666643</v>
      </c>
      <c r="AP209">
        <v>30.208333333333371</v>
      </c>
      <c r="AQ209">
        <v>31.249999999999961</v>
      </c>
    </row>
    <row r="210" spans="1:44" x14ac:dyDescent="0.2">
      <c r="A210">
        <v>123.3552631578946</v>
      </c>
      <c r="B210">
        <v>129.22932330827049</v>
      </c>
      <c r="C210">
        <v>158.59962406015029</v>
      </c>
      <c r="D210">
        <v>146.85150375939841</v>
      </c>
      <c r="E210">
        <v>21.874999999999972</v>
      </c>
      <c r="F210">
        <v>22.916666666666639</v>
      </c>
      <c r="G210">
        <v>28.124999999999979</v>
      </c>
      <c r="H210">
        <v>26.041666666666639</v>
      </c>
      <c r="J210">
        <v>98.315906356991036</v>
      </c>
      <c r="K210">
        <v>133.01563801239939</v>
      </c>
      <c r="L210">
        <v>144.5822152308688</v>
      </c>
      <c r="M210">
        <v>156.14879244933849</v>
      </c>
      <c r="N210">
        <v>17.708333333333371</v>
      </c>
      <c r="O210">
        <v>23.95833333333335</v>
      </c>
      <c r="P210">
        <v>26.04166666666665</v>
      </c>
      <c r="Q210">
        <v>28.125000000000028</v>
      </c>
      <c r="S210">
        <v>101.98135198135201</v>
      </c>
      <c r="T210">
        <v>106.8376068376069</v>
      </c>
      <c r="U210">
        <v>145.6876456876457</v>
      </c>
      <c r="V210">
        <v>121.40637140637141</v>
      </c>
      <c r="W210">
        <v>21.875</v>
      </c>
      <c r="X210">
        <v>22.916666666666689</v>
      </c>
      <c r="Y210">
        <v>31.250000000000011</v>
      </c>
      <c r="Z210">
        <v>26.041666666666661</v>
      </c>
      <c r="AB210">
        <v>220.69209039548059</v>
      </c>
      <c r="AC210">
        <v>194.2090395480227</v>
      </c>
      <c r="AD210">
        <v>220.69209039548059</v>
      </c>
      <c r="AE210">
        <v>220.69209039548059</v>
      </c>
      <c r="AF210">
        <v>26.04166666666671</v>
      </c>
      <c r="AG210">
        <v>22.916666666666671</v>
      </c>
      <c r="AH210">
        <v>26.04166666666671</v>
      </c>
      <c r="AI210">
        <v>26.04166666666671</v>
      </c>
      <c r="AK210">
        <v>120.19230769230759</v>
      </c>
      <c r="AL210">
        <v>115.3846153846152</v>
      </c>
      <c r="AM210">
        <v>105.7692307692309</v>
      </c>
      <c r="AN210">
        <v>110.5769230769229</v>
      </c>
      <c r="AO210">
        <v>26.04166666666665</v>
      </c>
      <c r="AP210">
        <v>24.999999999999972</v>
      </c>
      <c r="AQ210">
        <v>22.9166666666667</v>
      </c>
      <c r="AR210">
        <v>23.95833333333329</v>
      </c>
    </row>
    <row r="211" spans="1:44" x14ac:dyDescent="0.2">
      <c r="A211">
        <v>123.3552631578946</v>
      </c>
      <c r="B211">
        <v>129.22932330827049</v>
      </c>
      <c r="C211">
        <v>146.85150375939881</v>
      </c>
      <c r="D211">
        <v>158.59962406015069</v>
      </c>
      <c r="E211">
        <v>21.874999999999972</v>
      </c>
      <c r="F211">
        <v>22.916666666666639</v>
      </c>
      <c r="G211">
        <v>26.041666666666721</v>
      </c>
      <c r="H211">
        <v>28.12500000000006</v>
      </c>
      <c r="J211">
        <v>133.01563801239939</v>
      </c>
      <c r="K211">
        <v>121.4490607939297</v>
      </c>
      <c r="L211">
        <v>133.01563801239899</v>
      </c>
      <c r="M211">
        <v>161.9320810585732</v>
      </c>
      <c r="N211">
        <v>23.95833333333335</v>
      </c>
      <c r="O211">
        <v>21.874999999999972</v>
      </c>
      <c r="P211">
        <v>23.958333333333272</v>
      </c>
      <c r="Q211">
        <v>29.166666666666679</v>
      </c>
      <c r="S211">
        <v>111.6938616938619</v>
      </c>
      <c r="T211">
        <v>111.6938616938619</v>
      </c>
      <c r="U211">
        <v>126.2626262626263</v>
      </c>
      <c r="V211">
        <v>121.40637140637141</v>
      </c>
      <c r="W211">
        <v>23.958333333333371</v>
      </c>
      <c r="X211">
        <v>23.958333333333371</v>
      </c>
      <c r="Y211">
        <v>27.08333333333335</v>
      </c>
      <c r="Z211">
        <v>26.041666666666661</v>
      </c>
      <c r="AB211">
        <v>229.51977401129989</v>
      </c>
      <c r="AC211">
        <v>185.38135593220341</v>
      </c>
      <c r="AD211">
        <v>220.69209039548059</v>
      </c>
      <c r="AE211">
        <v>211.86440677966129</v>
      </c>
      <c r="AF211">
        <v>27.083333333333389</v>
      </c>
      <c r="AG211">
        <v>21.875</v>
      </c>
      <c r="AH211">
        <v>26.04166666666671</v>
      </c>
      <c r="AI211">
        <v>25.000000000000028</v>
      </c>
      <c r="AK211">
        <v>105.7692307692309</v>
      </c>
      <c r="AL211">
        <v>100.96153846153859</v>
      </c>
      <c r="AM211">
        <v>139.4230769230771</v>
      </c>
      <c r="AN211">
        <v>115.3846153846152</v>
      </c>
      <c r="AO211">
        <v>22.9166666666667</v>
      </c>
      <c r="AP211">
        <v>21.875000000000021</v>
      </c>
      <c r="AQ211">
        <v>30.208333333333371</v>
      </c>
      <c r="AR211">
        <v>24.999999999999972</v>
      </c>
    </row>
    <row r="212" spans="1:44" x14ac:dyDescent="0.2">
      <c r="A212">
        <v>129.22932330827101</v>
      </c>
      <c r="B212">
        <v>140.97744360902291</v>
      </c>
      <c r="C212">
        <v>129.22932330827101</v>
      </c>
      <c r="D212">
        <v>158.59962406015069</v>
      </c>
      <c r="E212">
        <v>22.916666666666721</v>
      </c>
      <c r="F212">
        <v>25.00000000000006</v>
      </c>
      <c r="G212">
        <v>22.916666666666721</v>
      </c>
      <c r="H212">
        <v>28.12500000000006</v>
      </c>
      <c r="J212">
        <v>127.23234940316431</v>
      </c>
      <c r="K212">
        <v>127.23234940316431</v>
      </c>
      <c r="L212">
        <v>138.79892662163459</v>
      </c>
      <c r="M212">
        <v>167.71536966780789</v>
      </c>
      <c r="N212">
        <v>22.916666666666622</v>
      </c>
      <c r="O212">
        <v>22.916666666666622</v>
      </c>
      <c r="P212">
        <v>25.000000000000082</v>
      </c>
      <c r="Q212">
        <v>30.208333333333329</v>
      </c>
      <c r="S212">
        <v>111.6938616938619</v>
      </c>
      <c r="T212">
        <v>131.11888111888129</v>
      </c>
      <c r="U212">
        <v>101.9813519813524</v>
      </c>
      <c r="V212">
        <v>126.2626262626263</v>
      </c>
      <c r="W212">
        <v>23.958333333333371</v>
      </c>
      <c r="X212">
        <v>28.125000000000039</v>
      </c>
      <c r="Y212">
        <v>21.875000000000089</v>
      </c>
      <c r="Z212">
        <v>27.08333333333335</v>
      </c>
      <c r="AB212">
        <v>203.036723163842</v>
      </c>
      <c r="AC212">
        <v>220.69209039548059</v>
      </c>
      <c r="AD212">
        <v>211.86440677966129</v>
      </c>
      <c r="AE212">
        <v>229.51977401129989</v>
      </c>
      <c r="AF212">
        <v>23.95833333333335</v>
      </c>
      <c r="AG212">
        <v>26.04166666666671</v>
      </c>
      <c r="AH212">
        <v>25.000000000000028</v>
      </c>
      <c r="AI212">
        <v>27.083333333333389</v>
      </c>
      <c r="AK212">
        <v>149.03846153846141</v>
      </c>
      <c r="AL212">
        <v>144.23076923076911</v>
      </c>
      <c r="AM212">
        <v>173.0769230769229</v>
      </c>
      <c r="AO212">
        <v>32.291666666666643</v>
      </c>
      <c r="AP212">
        <v>31.249999999999961</v>
      </c>
      <c r="AQ212">
        <v>37.499999999999957</v>
      </c>
    </row>
    <row r="213" spans="1:44" x14ac:dyDescent="0.2">
      <c r="A213">
        <v>117.4812030075191</v>
      </c>
      <c r="B213">
        <v>140.97744360902291</v>
      </c>
      <c r="C213">
        <v>146.85150375939881</v>
      </c>
      <c r="D213">
        <v>158.59962406015069</v>
      </c>
      <c r="E213">
        <v>20.833333333333378</v>
      </c>
      <c r="F213">
        <v>25.00000000000006</v>
      </c>
      <c r="G213">
        <v>26.041666666666721</v>
      </c>
      <c r="H213">
        <v>28.12500000000006</v>
      </c>
      <c r="J213">
        <v>104.0991949662257</v>
      </c>
      <c r="K213">
        <v>144.5822152308692</v>
      </c>
      <c r="L213">
        <v>144.5822152308692</v>
      </c>
      <c r="M213">
        <v>161.9320810585732</v>
      </c>
      <c r="N213">
        <v>18.750000000000021</v>
      </c>
      <c r="O213">
        <v>26.041666666666728</v>
      </c>
      <c r="P213">
        <v>26.041666666666728</v>
      </c>
      <c r="Q213">
        <v>29.166666666666679</v>
      </c>
      <c r="S213">
        <v>101.9813519813524</v>
      </c>
      <c r="T213">
        <v>101.9813519813524</v>
      </c>
      <c r="U213">
        <v>131.11888111888129</v>
      </c>
      <c r="V213">
        <v>126.2626262626263</v>
      </c>
      <c r="W213">
        <v>21.875000000000089</v>
      </c>
      <c r="X213">
        <v>21.875000000000089</v>
      </c>
      <c r="Y213">
        <v>28.125000000000039</v>
      </c>
      <c r="Z213">
        <v>27.08333333333335</v>
      </c>
      <c r="AB213">
        <v>194.2090395480227</v>
      </c>
      <c r="AC213">
        <v>211.86440677966129</v>
      </c>
      <c r="AD213">
        <v>220.69209039547971</v>
      </c>
      <c r="AE213">
        <v>211.86440677966129</v>
      </c>
      <c r="AF213">
        <v>22.916666666666671</v>
      </c>
      <c r="AG213">
        <v>25.000000000000028</v>
      </c>
      <c r="AH213">
        <v>26.0416666666666</v>
      </c>
      <c r="AI213">
        <v>25.000000000000028</v>
      </c>
      <c r="AK213">
        <v>182.69230769230759</v>
      </c>
      <c r="AL213">
        <v>134.61538461538481</v>
      </c>
      <c r="AM213">
        <v>139.4230769230771</v>
      </c>
      <c r="AO213">
        <v>39.583333333333307</v>
      </c>
      <c r="AP213">
        <v>29.1666666666667</v>
      </c>
      <c r="AQ213">
        <v>30.208333333333371</v>
      </c>
    </row>
    <row r="214" spans="1:44" x14ac:dyDescent="0.2">
      <c r="A214">
        <v>152.72556390977479</v>
      </c>
      <c r="B214">
        <v>105.73308270676721</v>
      </c>
      <c r="C214">
        <v>146.85150375939881</v>
      </c>
      <c r="D214">
        <v>158.59962406015069</v>
      </c>
      <c r="E214">
        <v>27.083333333333389</v>
      </c>
      <c r="F214">
        <v>18.750000000000039</v>
      </c>
      <c r="G214">
        <v>26.041666666666721</v>
      </c>
      <c r="H214">
        <v>28.12500000000006</v>
      </c>
      <c r="J214">
        <v>115.665772184695</v>
      </c>
      <c r="K214">
        <v>127.23234940316431</v>
      </c>
      <c r="L214">
        <v>144.5822152308692</v>
      </c>
      <c r="M214">
        <v>156.14879244933849</v>
      </c>
      <c r="N214">
        <v>20.833333333333321</v>
      </c>
      <c r="O214">
        <v>22.916666666666622</v>
      </c>
      <c r="P214">
        <v>26.041666666666728</v>
      </c>
      <c r="Q214">
        <v>28.125000000000028</v>
      </c>
      <c r="S214">
        <v>97.125097125097454</v>
      </c>
      <c r="T214">
        <v>101.9813519813524</v>
      </c>
      <c r="U214">
        <v>140.83139083139119</v>
      </c>
      <c r="V214">
        <v>135.97513597513631</v>
      </c>
      <c r="W214">
        <v>20.8333333333334</v>
      </c>
      <c r="X214">
        <v>21.875000000000089</v>
      </c>
      <c r="Y214">
        <v>30.20833333333341</v>
      </c>
      <c r="Z214">
        <v>29.166666666666721</v>
      </c>
      <c r="AB214">
        <v>194.2090395480227</v>
      </c>
      <c r="AC214">
        <v>211.86440677966129</v>
      </c>
      <c r="AD214">
        <v>211.86440677966129</v>
      </c>
      <c r="AE214">
        <v>229.51977401129989</v>
      </c>
      <c r="AF214">
        <v>22.916666666666671</v>
      </c>
      <c r="AG214">
        <v>25.000000000000028</v>
      </c>
      <c r="AH214">
        <v>25.000000000000028</v>
      </c>
      <c r="AI214">
        <v>27.083333333333389</v>
      </c>
      <c r="AK214">
        <v>125</v>
      </c>
      <c r="AL214">
        <v>120.19230769230759</v>
      </c>
      <c r="AM214">
        <v>105.7692307692305</v>
      </c>
      <c r="AN214">
        <v>110.5769230769229</v>
      </c>
      <c r="AO214">
        <v>27.083333333333329</v>
      </c>
      <c r="AP214">
        <v>26.04166666666665</v>
      </c>
      <c r="AQ214">
        <v>22.9166666666666</v>
      </c>
      <c r="AR214">
        <v>23.95833333333329</v>
      </c>
    </row>
    <row r="215" spans="1:44" x14ac:dyDescent="0.2">
      <c r="A215">
        <v>117.4812030075191</v>
      </c>
      <c r="B215">
        <v>140.97744360902291</v>
      </c>
      <c r="C215">
        <v>146.85150375939881</v>
      </c>
      <c r="D215">
        <v>158.59962406015069</v>
      </c>
      <c r="E215">
        <v>20.833333333333378</v>
      </c>
      <c r="F215">
        <v>25.00000000000006</v>
      </c>
      <c r="G215">
        <v>26.041666666666721</v>
      </c>
      <c r="H215">
        <v>28.12500000000006</v>
      </c>
      <c r="J215">
        <v>121.4490607939297</v>
      </c>
      <c r="K215">
        <v>127.23234940316431</v>
      </c>
      <c r="L215">
        <v>133.01563801239899</v>
      </c>
      <c r="M215">
        <v>161.9320810585732</v>
      </c>
      <c r="N215">
        <v>21.874999999999972</v>
      </c>
      <c r="O215">
        <v>22.916666666666622</v>
      </c>
      <c r="P215">
        <v>23.958333333333272</v>
      </c>
      <c r="Q215">
        <v>29.166666666666679</v>
      </c>
      <c r="S215">
        <v>101.9813519813524</v>
      </c>
      <c r="T215">
        <v>101.9813519813524</v>
      </c>
      <c r="U215">
        <v>126.2626262626263</v>
      </c>
      <c r="V215">
        <v>121.40637140637141</v>
      </c>
      <c r="W215">
        <v>21.875000000000089</v>
      </c>
      <c r="X215">
        <v>21.875000000000089</v>
      </c>
      <c r="Y215">
        <v>27.08333333333335</v>
      </c>
      <c r="Z215">
        <v>26.041666666666661</v>
      </c>
      <c r="AB215">
        <v>185.38135593220429</v>
      </c>
      <c r="AC215">
        <v>203.03672316384109</v>
      </c>
      <c r="AD215">
        <v>203.03672316384109</v>
      </c>
      <c r="AE215">
        <v>229.51977401129989</v>
      </c>
      <c r="AF215">
        <v>21.87500000000011</v>
      </c>
      <c r="AG215">
        <v>23.95833333333325</v>
      </c>
      <c r="AH215">
        <v>23.95833333333325</v>
      </c>
      <c r="AI215">
        <v>27.083333333333389</v>
      </c>
      <c r="AK215">
        <v>120.19230769230759</v>
      </c>
      <c r="AL215">
        <v>120.19230769230759</v>
      </c>
      <c r="AM215">
        <v>76.923076923077133</v>
      </c>
      <c r="AN215">
        <v>144.23076923076951</v>
      </c>
      <c r="AO215">
        <v>26.04166666666665</v>
      </c>
      <c r="AP215">
        <v>26.04166666666665</v>
      </c>
      <c r="AQ215">
        <v>16.66666666666671</v>
      </c>
      <c r="AR215">
        <v>31.25000000000006</v>
      </c>
    </row>
    <row r="216" spans="1:44" x14ac:dyDescent="0.2">
      <c r="A216">
        <v>117.4812030075191</v>
      </c>
      <c r="B216">
        <v>140.97744360902291</v>
      </c>
      <c r="C216">
        <v>146.85150375939881</v>
      </c>
      <c r="D216">
        <v>164.4736842105267</v>
      </c>
      <c r="E216">
        <v>20.833333333333378</v>
      </c>
      <c r="F216">
        <v>25.00000000000006</v>
      </c>
      <c r="G216">
        <v>26.041666666666721</v>
      </c>
      <c r="H216">
        <v>29.166666666666728</v>
      </c>
      <c r="J216">
        <v>127.23234940316431</v>
      </c>
      <c r="K216">
        <v>133.01563801239899</v>
      </c>
      <c r="L216">
        <v>144.5822152308692</v>
      </c>
      <c r="M216">
        <v>150.36550384010391</v>
      </c>
      <c r="N216">
        <v>22.916666666666622</v>
      </c>
      <c r="O216">
        <v>23.958333333333272</v>
      </c>
      <c r="P216">
        <v>26.041666666666728</v>
      </c>
      <c r="Q216">
        <v>27.083333333333378</v>
      </c>
      <c r="S216">
        <v>116.5501165501164</v>
      </c>
      <c r="T216">
        <v>111.69386169386139</v>
      </c>
      <c r="U216">
        <v>111.69386169386139</v>
      </c>
      <c r="V216">
        <v>121.40637140637141</v>
      </c>
      <c r="W216">
        <v>24.999999999999972</v>
      </c>
      <c r="X216">
        <v>23.958333333333279</v>
      </c>
      <c r="Y216">
        <v>23.958333333333279</v>
      </c>
      <c r="Z216">
        <v>26.041666666666661</v>
      </c>
      <c r="AB216">
        <v>220.69209039547971</v>
      </c>
      <c r="AC216">
        <v>176.55367231638411</v>
      </c>
      <c r="AD216">
        <v>211.86440677966129</v>
      </c>
      <c r="AE216">
        <v>211.86440677966129</v>
      </c>
      <c r="AF216">
        <v>26.0416666666666</v>
      </c>
      <c r="AG216">
        <v>20.833333333333321</v>
      </c>
      <c r="AH216">
        <v>25.000000000000028</v>
      </c>
      <c r="AI216">
        <v>25.000000000000028</v>
      </c>
      <c r="AK216">
        <v>115.3846153846152</v>
      </c>
      <c r="AL216">
        <v>115.3846153846152</v>
      </c>
      <c r="AM216">
        <v>62.5</v>
      </c>
      <c r="AN216">
        <v>187.5</v>
      </c>
      <c r="AO216">
        <v>24.999999999999972</v>
      </c>
      <c r="AP216">
        <v>24.999999999999972</v>
      </c>
      <c r="AQ216">
        <v>13.54166666666667</v>
      </c>
      <c r="AR216">
        <v>40.625</v>
      </c>
    </row>
    <row r="217" spans="1:44" x14ac:dyDescent="0.2">
      <c r="A217">
        <v>123.355263157895</v>
      </c>
      <c r="B217">
        <v>135.1033834586469</v>
      </c>
      <c r="C217">
        <v>152.72556390977479</v>
      </c>
      <c r="D217">
        <v>152.72556390977479</v>
      </c>
      <c r="E217">
        <v>21.87500000000005</v>
      </c>
      <c r="F217">
        <v>23.958333333333389</v>
      </c>
      <c r="G217">
        <v>27.083333333333389</v>
      </c>
      <c r="H217">
        <v>27.083333333333389</v>
      </c>
      <c r="J217">
        <v>127.23234940316431</v>
      </c>
      <c r="K217">
        <v>121.4490607939297</v>
      </c>
      <c r="L217">
        <v>150.36550384010391</v>
      </c>
      <c r="M217">
        <v>150.36550384010391</v>
      </c>
      <c r="N217">
        <v>22.916666666666622</v>
      </c>
      <c r="O217">
        <v>21.874999999999972</v>
      </c>
      <c r="P217">
        <v>27.083333333333378</v>
      </c>
      <c r="Q217">
        <v>27.083333333333378</v>
      </c>
      <c r="S217">
        <v>101.9813519813524</v>
      </c>
      <c r="T217">
        <v>106.8376068376065</v>
      </c>
      <c r="U217">
        <v>126.2626262626263</v>
      </c>
      <c r="V217">
        <v>126.2626262626263</v>
      </c>
      <c r="W217">
        <v>21.875000000000089</v>
      </c>
      <c r="X217">
        <v>22.91666666666659</v>
      </c>
      <c r="Y217">
        <v>27.08333333333335</v>
      </c>
      <c r="Z217">
        <v>27.08333333333335</v>
      </c>
      <c r="AB217">
        <v>203.03672316384109</v>
      </c>
      <c r="AC217">
        <v>194.2090395480227</v>
      </c>
      <c r="AD217">
        <v>229.51977401129989</v>
      </c>
      <c r="AE217">
        <v>229.51977401129989</v>
      </c>
      <c r="AF217">
        <v>23.95833333333325</v>
      </c>
      <c r="AG217">
        <v>22.916666666666671</v>
      </c>
      <c r="AH217">
        <v>27.083333333333389</v>
      </c>
      <c r="AI217">
        <v>27.083333333333389</v>
      </c>
      <c r="AK217">
        <v>168.26923076923049</v>
      </c>
      <c r="AL217">
        <v>139.4230769230771</v>
      </c>
      <c r="AM217">
        <v>144.23076923076951</v>
      </c>
      <c r="AO217">
        <v>36.458333333333272</v>
      </c>
      <c r="AP217">
        <v>30.208333333333371</v>
      </c>
      <c r="AQ217">
        <v>31.25000000000006</v>
      </c>
    </row>
    <row r="218" spans="1:44" x14ac:dyDescent="0.2">
      <c r="A218">
        <v>111.6071428571431</v>
      </c>
      <c r="B218">
        <v>135.1033834586469</v>
      </c>
      <c r="C218">
        <v>146.8515037593979</v>
      </c>
      <c r="D218">
        <v>158.59962406015069</v>
      </c>
      <c r="E218">
        <v>19.79166666666671</v>
      </c>
      <c r="F218">
        <v>23.958333333333389</v>
      </c>
      <c r="G218">
        <v>26.041666666666561</v>
      </c>
      <c r="H218">
        <v>28.12500000000006</v>
      </c>
      <c r="J218">
        <v>133.01563801239899</v>
      </c>
      <c r="K218">
        <v>115.665772184695</v>
      </c>
      <c r="L218">
        <v>144.5822152308692</v>
      </c>
      <c r="M218">
        <v>144.58221523086829</v>
      </c>
      <c r="N218">
        <v>23.958333333333272</v>
      </c>
      <c r="O218">
        <v>20.833333333333321</v>
      </c>
      <c r="P218">
        <v>26.041666666666728</v>
      </c>
      <c r="Q218">
        <v>26.041666666666568</v>
      </c>
      <c r="S218">
        <v>116.5501165501164</v>
      </c>
      <c r="T218">
        <v>111.69386169386139</v>
      </c>
      <c r="U218">
        <v>111.69386169386139</v>
      </c>
      <c r="V218">
        <v>135.97513597513631</v>
      </c>
      <c r="W218">
        <v>24.999999999999972</v>
      </c>
      <c r="X218">
        <v>23.958333333333279</v>
      </c>
      <c r="Y218">
        <v>23.958333333333279</v>
      </c>
      <c r="Z218">
        <v>29.166666666666721</v>
      </c>
      <c r="AB218">
        <v>194.2090395480227</v>
      </c>
      <c r="AC218">
        <v>220.69209039547971</v>
      </c>
      <c r="AD218">
        <v>194.2090395480227</v>
      </c>
      <c r="AE218">
        <v>220.69209039547971</v>
      </c>
      <c r="AF218">
        <v>22.916666666666671</v>
      </c>
      <c r="AG218">
        <v>26.0416666666666</v>
      </c>
      <c r="AH218">
        <v>22.916666666666671</v>
      </c>
      <c r="AI218">
        <v>26.0416666666666</v>
      </c>
      <c r="AK218">
        <v>120.19230769230759</v>
      </c>
      <c r="AL218">
        <v>115.3846153846152</v>
      </c>
      <c r="AM218">
        <v>115.3846153846152</v>
      </c>
      <c r="AN218">
        <v>115.3846153846152</v>
      </c>
      <c r="AO218">
        <v>26.04166666666665</v>
      </c>
      <c r="AP218">
        <v>24.999999999999972</v>
      </c>
      <c r="AQ218">
        <v>24.999999999999972</v>
      </c>
      <c r="AR218">
        <v>24.999999999999972</v>
      </c>
    </row>
    <row r="219" spans="1:44" x14ac:dyDescent="0.2">
      <c r="A219">
        <v>129.22932330827101</v>
      </c>
      <c r="B219">
        <v>135.1033834586469</v>
      </c>
      <c r="C219">
        <v>146.85150375939881</v>
      </c>
      <c r="D219">
        <v>146.85150375939159</v>
      </c>
      <c r="E219">
        <v>22.916666666666721</v>
      </c>
      <c r="F219">
        <v>23.958333333333389</v>
      </c>
      <c r="G219">
        <v>26.041666666666721</v>
      </c>
      <c r="H219">
        <v>26.041666666665439</v>
      </c>
      <c r="J219">
        <v>138.79892662163371</v>
      </c>
      <c r="K219">
        <v>104.0991949662257</v>
      </c>
      <c r="L219">
        <v>156.14879244933761</v>
      </c>
      <c r="M219">
        <v>150.36550384010479</v>
      </c>
      <c r="N219">
        <v>24.999999999999918</v>
      </c>
      <c r="O219">
        <v>18.750000000000021</v>
      </c>
      <c r="P219">
        <v>28.124999999999869</v>
      </c>
      <c r="Q219">
        <v>27.083333333333549</v>
      </c>
      <c r="S219">
        <v>97.125097125097454</v>
      </c>
      <c r="T219">
        <v>101.9813519813524</v>
      </c>
      <c r="U219">
        <v>126.2626262626263</v>
      </c>
      <c r="V219">
        <v>121.4063714063668</v>
      </c>
      <c r="W219">
        <v>20.8333333333334</v>
      </c>
      <c r="X219">
        <v>21.875000000000089</v>
      </c>
      <c r="Y219">
        <v>27.08333333333335</v>
      </c>
      <c r="Z219">
        <v>26.04166666666568</v>
      </c>
      <c r="AB219">
        <v>203.03672316384109</v>
      </c>
      <c r="AC219">
        <v>203.03672316384109</v>
      </c>
      <c r="AD219">
        <v>194.2090395480227</v>
      </c>
      <c r="AE219">
        <v>229.5197740112981</v>
      </c>
      <c r="AF219">
        <v>23.95833333333325</v>
      </c>
      <c r="AG219">
        <v>23.95833333333325</v>
      </c>
      <c r="AH219">
        <v>22.916666666666671</v>
      </c>
      <c r="AI219">
        <v>27.083333333333169</v>
      </c>
      <c r="AK219">
        <v>197.11538461538481</v>
      </c>
      <c r="AL219">
        <v>153.84615384615429</v>
      </c>
      <c r="AM219">
        <v>96.153846153846644</v>
      </c>
      <c r="AO219">
        <v>42.708333333333357</v>
      </c>
      <c r="AP219">
        <v>33.333333333333428</v>
      </c>
      <c r="AQ219">
        <v>20.833333333333439</v>
      </c>
    </row>
    <row r="220" spans="1:44" ht="31" x14ac:dyDescent="0.35">
      <c r="A220" s="25"/>
    </row>
    <row r="221" spans="1:44" ht="31" x14ac:dyDescent="0.35">
      <c r="A221" s="12" t="s">
        <v>163</v>
      </c>
      <c r="B221" s="13"/>
      <c r="C221" s="13"/>
      <c r="D221" s="13"/>
      <c r="E221" s="13"/>
      <c r="F221" s="13"/>
      <c r="G221" s="13"/>
      <c r="H221" s="13"/>
      <c r="J221" s="9" t="s">
        <v>70</v>
      </c>
      <c r="K221" s="10"/>
      <c r="L221" s="10"/>
      <c r="M221" s="10"/>
      <c r="N221" s="10"/>
      <c r="O221" s="10"/>
      <c r="P221" s="10"/>
      <c r="Q221" s="10"/>
      <c r="S221" s="1" t="s">
        <v>101</v>
      </c>
      <c r="T221" s="2"/>
      <c r="U221" s="2"/>
      <c r="V221" s="2"/>
      <c r="W221" s="2"/>
      <c r="X221" s="2"/>
      <c r="Y221" s="2"/>
      <c r="Z221" s="2"/>
      <c r="AB221" s="14" t="s">
        <v>129</v>
      </c>
      <c r="AC221" s="15"/>
      <c r="AD221" s="15"/>
      <c r="AE221" s="15"/>
      <c r="AF221" s="15"/>
      <c r="AG221" s="15"/>
      <c r="AH221" s="15"/>
      <c r="AI221" s="15"/>
      <c r="AK221" s="16" t="s">
        <v>151</v>
      </c>
      <c r="AL221" s="17"/>
      <c r="AM221" s="17"/>
      <c r="AN221" s="17"/>
      <c r="AO221" s="17"/>
      <c r="AP221" s="17"/>
      <c r="AQ221" s="18"/>
      <c r="AR221" s="17"/>
    </row>
    <row r="222" spans="1:44" ht="31" x14ac:dyDescent="0.35">
      <c r="A222" s="3" t="s">
        <v>2</v>
      </c>
      <c r="E222" s="7"/>
      <c r="F222" s="6" t="s">
        <v>164</v>
      </c>
      <c r="G222" s="6"/>
      <c r="H222" s="6"/>
      <c r="J222" s="3" t="s">
        <v>2</v>
      </c>
      <c r="N222" s="23" t="s">
        <v>18</v>
      </c>
      <c r="O222" s="6" t="s">
        <v>69</v>
      </c>
      <c r="P222" s="6"/>
      <c r="Q222" s="6"/>
      <c r="S222" s="3" t="s">
        <v>2</v>
      </c>
      <c r="W222" s="23" t="s">
        <v>18</v>
      </c>
      <c r="X222" s="24" t="s">
        <v>100</v>
      </c>
      <c r="AB222" s="3" t="s">
        <v>2</v>
      </c>
      <c r="AF222" s="23" t="s">
        <v>18</v>
      </c>
      <c r="AG222" s="24" t="s">
        <v>130</v>
      </c>
      <c r="AH222" s="19"/>
      <c r="AI222" s="19"/>
      <c r="AK222" s="3" t="s">
        <v>2</v>
      </c>
      <c r="AO222" s="6" t="s">
        <v>3</v>
      </c>
      <c r="AP222" s="6" t="s">
        <v>147</v>
      </c>
      <c r="AQ222" s="6"/>
      <c r="AR222" s="6"/>
    </row>
    <row r="223" spans="1:44" x14ac:dyDescent="0.2">
      <c r="A223" s="7">
        <v>1</v>
      </c>
      <c r="B223" s="6">
        <v>2</v>
      </c>
      <c r="C223" s="6">
        <v>3</v>
      </c>
      <c r="D223" s="6">
        <v>4</v>
      </c>
      <c r="E223" s="7">
        <v>1</v>
      </c>
      <c r="F223" s="6">
        <v>2</v>
      </c>
      <c r="G223" s="6">
        <v>3</v>
      </c>
      <c r="H223" s="6">
        <v>4</v>
      </c>
      <c r="J223" s="7">
        <v>1</v>
      </c>
      <c r="K223" s="6">
        <v>2</v>
      </c>
      <c r="L223" s="6">
        <v>3</v>
      </c>
      <c r="M223" s="6">
        <v>4</v>
      </c>
      <c r="N223" s="7">
        <v>1</v>
      </c>
      <c r="O223" s="6">
        <v>2</v>
      </c>
      <c r="P223" s="6">
        <v>3</v>
      </c>
      <c r="Q223" s="6">
        <v>4</v>
      </c>
      <c r="S223" s="7">
        <v>1</v>
      </c>
      <c r="T223" s="6">
        <v>2</v>
      </c>
      <c r="U223" s="6">
        <v>3</v>
      </c>
      <c r="V223" s="6">
        <v>4</v>
      </c>
      <c r="W223" s="7">
        <v>1</v>
      </c>
      <c r="X223" s="6">
        <v>2</v>
      </c>
      <c r="Y223" s="6">
        <v>3</v>
      </c>
      <c r="Z223" s="6">
        <v>4</v>
      </c>
      <c r="AB223" s="7">
        <v>1</v>
      </c>
      <c r="AC223" s="6">
        <v>2</v>
      </c>
      <c r="AD223" s="6">
        <v>3</v>
      </c>
      <c r="AE223" s="6">
        <v>4</v>
      </c>
      <c r="AF223" s="7">
        <v>1</v>
      </c>
      <c r="AG223" s="6">
        <v>2</v>
      </c>
      <c r="AH223" s="6">
        <v>3</v>
      </c>
      <c r="AI223" s="6">
        <v>4</v>
      </c>
      <c r="AK223" s="7">
        <v>1</v>
      </c>
      <c r="AL223" s="6">
        <v>2</v>
      </c>
      <c r="AM223" s="6">
        <v>3</v>
      </c>
      <c r="AN223" s="6">
        <v>4</v>
      </c>
      <c r="AO223" s="7">
        <v>1</v>
      </c>
      <c r="AP223" s="6">
        <v>2</v>
      </c>
      <c r="AQ223" s="6">
        <v>3</v>
      </c>
      <c r="AR223" s="6">
        <v>4</v>
      </c>
    </row>
    <row r="224" spans="1:44" x14ac:dyDescent="0.2">
      <c r="A224">
        <v>152.7467856763362</v>
      </c>
      <c r="B224">
        <v>152.7467856763362</v>
      </c>
      <c r="C224">
        <v>185.95260864945271</v>
      </c>
      <c r="D224">
        <v>159.38795027095949</v>
      </c>
      <c r="E224">
        <v>23.958333333333329</v>
      </c>
      <c r="F224">
        <v>23.958333333333329</v>
      </c>
      <c r="G224">
        <v>29.166666666666661</v>
      </c>
      <c r="H224">
        <v>25.000000000000011</v>
      </c>
      <c r="J224">
        <v>175.6499046471946</v>
      </c>
      <c r="K224">
        <v>112.9177958446251</v>
      </c>
      <c r="L224">
        <v>175.6499046471946</v>
      </c>
      <c r="M224">
        <v>156.8302720064238</v>
      </c>
      <c r="N224">
        <v>29.166666666666671</v>
      </c>
      <c r="O224">
        <v>18.750000000000011</v>
      </c>
      <c r="P224">
        <v>29.166666666666661</v>
      </c>
      <c r="Q224">
        <v>26.041666666666671</v>
      </c>
      <c r="S224">
        <v>111.16286948420429</v>
      </c>
      <c r="T224">
        <v>164.09756923858731</v>
      </c>
      <c r="U224">
        <v>111.16286948420429</v>
      </c>
      <c r="V224">
        <v>116.45633945964261</v>
      </c>
      <c r="W224">
        <v>21.875</v>
      </c>
      <c r="X224">
        <v>32.291666666666679</v>
      </c>
      <c r="Y224">
        <v>21.875</v>
      </c>
      <c r="Z224">
        <v>22.916666666666671</v>
      </c>
      <c r="AB224">
        <v>186.0331997710361</v>
      </c>
      <c r="AC224">
        <v>135.9473382942187</v>
      </c>
      <c r="AD224">
        <v>186.0331997710361</v>
      </c>
      <c r="AE224">
        <v>164.56783056668581</v>
      </c>
      <c r="AF224">
        <v>27.083333333333339</v>
      </c>
      <c r="AG224">
        <v>19.791666666666671</v>
      </c>
      <c r="AH224">
        <v>27.083333333333339</v>
      </c>
      <c r="AI224">
        <v>23.958333333333339</v>
      </c>
      <c r="AK224">
        <v>143.5185185185185</v>
      </c>
      <c r="AL224">
        <v>138.88888888888891</v>
      </c>
      <c r="AM224">
        <v>180.55555555555549</v>
      </c>
      <c r="AO224">
        <v>32.291666666666671</v>
      </c>
      <c r="AP224">
        <v>31.25</v>
      </c>
      <c r="AQ224">
        <v>40.625</v>
      </c>
    </row>
    <row r="225" spans="1:44" x14ac:dyDescent="0.2">
      <c r="A225">
        <v>146.1056210817128</v>
      </c>
      <c r="B225">
        <v>139.46445648708959</v>
      </c>
      <c r="C225">
        <v>185.95260864945271</v>
      </c>
      <c r="D225">
        <v>179.31144405482951</v>
      </c>
      <c r="E225">
        <v>22.91666666666665</v>
      </c>
      <c r="F225">
        <v>21.875000000000011</v>
      </c>
      <c r="G225">
        <v>29.166666666666661</v>
      </c>
      <c r="H225">
        <v>28.125000000000011</v>
      </c>
      <c r="J225">
        <v>119.1910067248821</v>
      </c>
      <c r="K225">
        <v>138.01063936565291</v>
      </c>
      <c r="L225">
        <v>169.37669376693771</v>
      </c>
      <c r="M225">
        <v>188.19632640770851</v>
      </c>
      <c r="N225">
        <v>19.791666666666671</v>
      </c>
      <c r="O225">
        <v>22.916666666666661</v>
      </c>
      <c r="P225">
        <v>28.125000000000011</v>
      </c>
      <c r="Q225">
        <v>31.25</v>
      </c>
      <c r="S225">
        <v>148.2171593122724</v>
      </c>
      <c r="T225">
        <v>105.86939950876599</v>
      </c>
      <c r="U225">
        <v>142.92368933683409</v>
      </c>
      <c r="V225">
        <v>137.63021936139589</v>
      </c>
      <c r="W225">
        <v>29.166666666666671</v>
      </c>
      <c r="X225">
        <v>20.833333333333339</v>
      </c>
      <c r="Y225">
        <v>28.125</v>
      </c>
      <c r="Z225">
        <v>27.083333333333361</v>
      </c>
      <c r="AB225">
        <v>186.03319977103621</v>
      </c>
      <c r="AC225">
        <v>157.41270749856901</v>
      </c>
      <c r="AD225">
        <v>171.72295363480251</v>
      </c>
      <c r="AE225">
        <v>193.18832283915279</v>
      </c>
      <c r="AF225">
        <v>27.08333333333335</v>
      </c>
      <c r="AG225">
        <v>22.916666666666671</v>
      </c>
      <c r="AH225">
        <v>24.999999999999989</v>
      </c>
      <c r="AI225">
        <v>28.124999999999989</v>
      </c>
      <c r="AK225">
        <v>157.40740740740739</v>
      </c>
      <c r="AL225">
        <v>162.03703703703709</v>
      </c>
      <c r="AM225">
        <v>111.1111111111111</v>
      </c>
      <c r="AO225">
        <v>35.416666666666671</v>
      </c>
      <c r="AP225">
        <v>36.458333333333343</v>
      </c>
      <c r="AQ225">
        <v>25</v>
      </c>
    </row>
    <row r="226" spans="1:44" x14ac:dyDescent="0.2">
      <c r="A226">
        <v>139.46445648708959</v>
      </c>
      <c r="B226">
        <v>139.46445648708959</v>
      </c>
      <c r="C226">
        <v>192.59377324407609</v>
      </c>
      <c r="D226">
        <v>166.0291148655829</v>
      </c>
      <c r="E226">
        <v>21.875000000000011</v>
      </c>
      <c r="F226">
        <v>21.875000000000011</v>
      </c>
      <c r="G226">
        <v>30.20833333333335</v>
      </c>
      <c r="H226">
        <v>26.041666666666671</v>
      </c>
      <c r="J226">
        <v>100.3713740841113</v>
      </c>
      <c r="K226">
        <v>138.01063936565291</v>
      </c>
      <c r="L226">
        <v>163.10348288668069</v>
      </c>
      <c r="M226">
        <v>175.64990464719469</v>
      </c>
      <c r="N226">
        <v>16.666666666666671</v>
      </c>
      <c r="O226">
        <v>22.916666666666661</v>
      </c>
      <c r="P226">
        <v>27.083333333333329</v>
      </c>
      <c r="Q226">
        <v>29.166666666666679</v>
      </c>
      <c r="S226">
        <v>111.16286948420429</v>
      </c>
      <c r="T226">
        <v>121.74980943508081</v>
      </c>
      <c r="U226">
        <v>153.5106292877108</v>
      </c>
      <c r="V226">
        <v>121.74980943508081</v>
      </c>
      <c r="W226">
        <v>21.875</v>
      </c>
      <c r="X226">
        <v>23.958333333333321</v>
      </c>
      <c r="Y226">
        <v>30.208333333333361</v>
      </c>
      <c r="Z226">
        <v>23.958333333333321</v>
      </c>
      <c r="AB226">
        <v>200.3434459072696</v>
      </c>
      <c r="AC226">
        <v>143.10246136233539</v>
      </c>
      <c r="AD226">
        <v>164.5678305666859</v>
      </c>
      <c r="AE226">
        <v>186.0331997710359</v>
      </c>
      <c r="AF226">
        <v>29.166666666666661</v>
      </c>
      <c r="AG226">
        <v>20.833333333333321</v>
      </c>
      <c r="AH226">
        <v>23.95833333333335</v>
      </c>
      <c r="AI226">
        <v>27.083333333333311</v>
      </c>
      <c r="AK226">
        <v>106.4814814814815</v>
      </c>
      <c r="AL226">
        <v>106.4814814814815</v>
      </c>
      <c r="AM226">
        <v>111.1111111111111</v>
      </c>
      <c r="AN226">
        <v>115.74074074074061</v>
      </c>
      <c r="AO226">
        <v>23.95833333333335</v>
      </c>
      <c r="AP226">
        <v>23.95833333333335</v>
      </c>
      <c r="AQ226">
        <v>25</v>
      </c>
      <c r="AR226">
        <v>26.04166666666665</v>
      </c>
    </row>
    <row r="227" spans="1:44" x14ac:dyDescent="0.2">
      <c r="A227">
        <v>146.1056210817128</v>
      </c>
      <c r="B227">
        <v>146.1056210817128</v>
      </c>
      <c r="C227">
        <v>185.95260864945291</v>
      </c>
      <c r="D227">
        <v>172.6702794602061</v>
      </c>
      <c r="E227">
        <v>22.91666666666665</v>
      </c>
      <c r="F227">
        <v>22.91666666666665</v>
      </c>
      <c r="G227">
        <v>29.1666666666667</v>
      </c>
      <c r="H227">
        <v>27.083333333333329</v>
      </c>
      <c r="J227">
        <v>138.01063936565291</v>
      </c>
      <c r="K227">
        <v>131.7374284853959</v>
      </c>
      <c r="L227">
        <v>169.37669376693751</v>
      </c>
      <c r="M227">
        <v>163.10348288668089</v>
      </c>
      <c r="N227">
        <v>22.916666666666661</v>
      </c>
      <c r="O227">
        <v>21.874999999999989</v>
      </c>
      <c r="P227">
        <v>28.124999999999961</v>
      </c>
      <c r="Q227">
        <v>27.083333333333371</v>
      </c>
      <c r="S227">
        <v>111.16286948420429</v>
      </c>
      <c r="T227">
        <v>121.74980943508081</v>
      </c>
      <c r="U227">
        <v>142.92368933683409</v>
      </c>
      <c r="V227">
        <v>127.0432794105193</v>
      </c>
      <c r="W227">
        <v>21.875</v>
      </c>
      <c r="X227">
        <v>23.958333333333321</v>
      </c>
      <c r="Y227">
        <v>28.125</v>
      </c>
      <c r="Z227">
        <v>25.000000000000021</v>
      </c>
      <c r="AB227">
        <v>178.87807670291929</v>
      </c>
      <c r="AC227">
        <v>143.10246136233539</v>
      </c>
      <c r="AD227">
        <v>171.72295363480271</v>
      </c>
      <c r="AE227">
        <v>193.18832283915299</v>
      </c>
      <c r="AF227">
        <v>26.041666666666671</v>
      </c>
      <c r="AG227">
        <v>20.833333333333321</v>
      </c>
      <c r="AH227">
        <v>25.000000000000021</v>
      </c>
      <c r="AI227">
        <v>28.125000000000021</v>
      </c>
      <c r="AK227">
        <v>101.85185185185171</v>
      </c>
      <c r="AL227">
        <v>101.85185185185171</v>
      </c>
      <c r="AM227">
        <v>129.62962962962959</v>
      </c>
      <c r="AN227">
        <v>111.1111111111111</v>
      </c>
      <c r="AO227">
        <v>22.916666666666639</v>
      </c>
      <c r="AP227">
        <v>22.916666666666639</v>
      </c>
      <c r="AQ227">
        <v>29.16666666666665</v>
      </c>
      <c r="AR227">
        <v>25</v>
      </c>
    </row>
    <row r="228" spans="1:44" x14ac:dyDescent="0.2">
      <c r="A228">
        <v>146.1056210817128</v>
      </c>
      <c r="B228">
        <v>132.82329189246639</v>
      </c>
      <c r="C228">
        <v>185.95260864945291</v>
      </c>
      <c r="D228">
        <v>172.6702794602061</v>
      </c>
      <c r="E228">
        <v>22.91666666666665</v>
      </c>
      <c r="F228">
        <v>20.833333333333361</v>
      </c>
      <c r="G228">
        <v>29.1666666666667</v>
      </c>
      <c r="H228">
        <v>27.083333333333329</v>
      </c>
      <c r="J228">
        <v>138.01063936565291</v>
      </c>
      <c r="K228">
        <v>144.28385024590989</v>
      </c>
      <c r="L228">
        <v>181.9231155274515</v>
      </c>
      <c r="M228">
        <v>138.01063936565291</v>
      </c>
      <c r="N228">
        <v>22.916666666666661</v>
      </c>
      <c r="O228">
        <v>23.958333333333339</v>
      </c>
      <c r="P228">
        <v>30.208333333333329</v>
      </c>
      <c r="Q228">
        <v>22.916666666666661</v>
      </c>
      <c r="S228">
        <v>185.27144914034031</v>
      </c>
      <c r="T228">
        <v>79.4020496315743</v>
      </c>
      <c r="U228">
        <v>137.6302193613956</v>
      </c>
      <c r="V228">
        <v>132.33674938595729</v>
      </c>
      <c r="W228">
        <v>36.458333333333307</v>
      </c>
      <c r="X228">
        <v>15.624999999999959</v>
      </c>
      <c r="Y228">
        <v>27.08333333333329</v>
      </c>
      <c r="Z228">
        <v>26.041666666666639</v>
      </c>
      <c r="AB228">
        <v>171.72295363480271</v>
      </c>
      <c r="AC228">
        <v>157.41270749856901</v>
      </c>
      <c r="AD228">
        <v>178.87807670291929</v>
      </c>
      <c r="AE228">
        <v>200.3434459072696</v>
      </c>
      <c r="AF228">
        <v>25.000000000000021</v>
      </c>
      <c r="AG228">
        <v>22.916666666666671</v>
      </c>
      <c r="AH228">
        <v>26.041666666666671</v>
      </c>
      <c r="AI228">
        <v>29.166666666666661</v>
      </c>
      <c r="AK228">
        <v>143.5185185185185</v>
      </c>
      <c r="AL228">
        <v>138.88888888888891</v>
      </c>
      <c r="AM228">
        <v>194.44444444444429</v>
      </c>
      <c r="AO228">
        <v>32.291666666666657</v>
      </c>
      <c r="AP228">
        <v>31.250000000000011</v>
      </c>
      <c r="AQ228">
        <v>43.749999999999993</v>
      </c>
    </row>
    <row r="229" spans="1:44" x14ac:dyDescent="0.2">
      <c r="A229">
        <v>146.1056210817128</v>
      </c>
      <c r="B229">
        <v>139.46445648708959</v>
      </c>
      <c r="C229">
        <v>179.31144405482931</v>
      </c>
      <c r="D229">
        <v>179.31144405482931</v>
      </c>
      <c r="E229">
        <v>22.91666666666665</v>
      </c>
      <c r="F229">
        <v>21.875000000000011</v>
      </c>
      <c r="G229">
        <v>28.124999999999979</v>
      </c>
      <c r="H229">
        <v>28.124999999999979</v>
      </c>
      <c r="J229">
        <v>131.7374284853959</v>
      </c>
      <c r="K229">
        <v>138.01063936565291</v>
      </c>
      <c r="L229">
        <v>175.64990464719449</v>
      </c>
      <c r="M229">
        <v>138.01063936565291</v>
      </c>
      <c r="N229">
        <v>21.874999999999989</v>
      </c>
      <c r="O229">
        <v>22.916666666666661</v>
      </c>
      <c r="P229">
        <v>29.16666666666665</v>
      </c>
      <c r="Q229">
        <v>22.916666666666661</v>
      </c>
      <c r="S229">
        <v>127.0432794105191</v>
      </c>
      <c r="T229">
        <v>100.57592953332779</v>
      </c>
      <c r="U229">
        <v>121.74980943508081</v>
      </c>
      <c r="V229">
        <v>148.21715931227251</v>
      </c>
      <c r="W229">
        <v>24.999999999999979</v>
      </c>
      <c r="X229">
        <v>19.791666666666689</v>
      </c>
      <c r="Y229">
        <v>23.958333333333321</v>
      </c>
      <c r="Z229">
        <v>29.1666666666667</v>
      </c>
      <c r="AB229">
        <v>171.72295363480271</v>
      </c>
      <c r="AC229">
        <v>128.79221522610209</v>
      </c>
      <c r="AD229">
        <v>178.87807670291929</v>
      </c>
      <c r="AE229">
        <v>186.03319977103641</v>
      </c>
      <c r="AF229">
        <v>25.000000000000021</v>
      </c>
      <c r="AG229">
        <v>18.750000000000039</v>
      </c>
      <c r="AH229">
        <v>26.041666666666671</v>
      </c>
      <c r="AI229">
        <v>27.083333333333378</v>
      </c>
      <c r="AK229">
        <v>148.14814814814829</v>
      </c>
      <c r="AL229">
        <v>157.40740740740739</v>
      </c>
      <c r="AM229">
        <v>111.1111111111109</v>
      </c>
      <c r="AO229">
        <v>33.333333333333357</v>
      </c>
      <c r="AP229">
        <v>35.416666666666671</v>
      </c>
      <c r="AQ229">
        <v>24.99999999999994</v>
      </c>
    </row>
    <row r="230" spans="1:44" x14ac:dyDescent="0.2">
      <c r="A230">
        <v>146.1056210817128</v>
      </c>
      <c r="B230">
        <v>139.46445648708911</v>
      </c>
      <c r="C230">
        <v>185.95260864945249</v>
      </c>
      <c r="D230">
        <v>166.02911486558239</v>
      </c>
      <c r="E230">
        <v>22.91666666666665</v>
      </c>
      <c r="F230">
        <v>21.874999999999929</v>
      </c>
      <c r="G230">
        <v>29.166666666666629</v>
      </c>
      <c r="H230">
        <v>26.041666666666611</v>
      </c>
      <c r="J230">
        <v>138.01063936565291</v>
      </c>
      <c r="K230">
        <v>138.01063936565291</v>
      </c>
      <c r="L230">
        <v>169.37669376693751</v>
      </c>
      <c r="M230">
        <v>163.1034828866805</v>
      </c>
      <c r="N230">
        <v>22.916666666666661</v>
      </c>
      <c r="O230">
        <v>22.916666666666661</v>
      </c>
      <c r="P230">
        <v>28.124999999999961</v>
      </c>
      <c r="Q230">
        <v>27.08333333333329</v>
      </c>
      <c r="S230">
        <v>105.86939950876599</v>
      </c>
      <c r="T230">
        <v>132.33674938595729</v>
      </c>
      <c r="U230">
        <v>132.33674938595729</v>
      </c>
      <c r="V230">
        <v>153.5106292877108</v>
      </c>
      <c r="W230">
        <v>20.833333333333339</v>
      </c>
      <c r="X230">
        <v>26.041666666666639</v>
      </c>
      <c r="Y230">
        <v>26.041666666666639</v>
      </c>
      <c r="Z230">
        <v>30.208333333333361</v>
      </c>
      <c r="AB230">
        <v>171.72295363480231</v>
      </c>
      <c r="AC230">
        <v>150.257584430452</v>
      </c>
      <c r="AD230">
        <v>178.87807670291929</v>
      </c>
      <c r="AE230">
        <v>193.18832283915251</v>
      </c>
      <c r="AF230">
        <v>24.999999999999961</v>
      </c>
      <c r="AG230">
        <v>21.874999999999961</v>
      </c>
      <c r="AH230">
        <v>26.041666666666671</v>
      </c>
      <c r="AI230">
        <v>28.12499999999995</v>
      </c>
      <c r="AK230">
        <v>106.4814814814813</v>
      </c>
      <c r="AL230">
        <v>106.4814814814813</v>
      </c>
      <c r="AM230">
        <v>111.1111111111113</v>
      </c>
      <c r="AN230">
        <v>115.7407407407409</v>
      </c>
      <c r="AO230">
        <v>23.9583333333333</v>
      </c>
      <c r="AP230">
        <v>23.9583333333333</v>
      </c>
      <c r="AQ230">
        <v>25.00000000000005</v>
      </c>
      <c r="AR230">
        <v>26.0416666666667</v>
      </c>
    </row>
    <row r="231" spans="1:44" x14ac:dyDescent="0.2">
      <c r="A231">
        <v>146.10562108171331</v>
      </c>
      <c r="B231">
        <v>146.10562108171331</v>
      </c>
      <c r="C231">
        <v>185.95260864945249</v>
      </c>
      <c r="D231">
        <v>159.38795027095969</v>
      </c>
      <c r="E231">
        <v>22.916666666666728</v>
      </c>
      <c r="F231">
        <v>22.916666666666728</v>
      </c>
      <c r="G231">
        <v>29.166666666666629</v>
      </c>
      <c r="H231">
        <v>25.000000000000028</v>
      </c>
      <c r="J231">
        <v>163.1034828866805</v>
      </c>
      <c r="K231">
        <v>106.64458496436779</v>
      </c>
      <c r="L231">
        <v>169.3766937669379</v>
      </c>
      <c r="M231">
        <v>169.3766937669379</v>
      </c>
      <c r="N231">
        <v>27.08333333333329</v>
      </c>
      <c r="O231">
        <v>17.708333333333279</v>
      </c>
      <c r="P231">
        <v>28.125000000000039</v>
      </c>
      <c r="Q231">
        <v>28.125000000000039</v>
      </c>
      <c r="S231">
        <v>111.16286948420429</v>
      </c>
      <c r="T231">
        <v>95.282459557889524</v>
      </c>
      <c r="U231">
        <v>148.21715931227251</v>
      </c>
      <c r="V231">
        <v>127.0432794105191</v>
      </c>
      <c r="W231">
        <v>21.875</v>
      </c>
      <c r="X231">
        <v>18.750000000000028</v>
      </c>
      <c r="Y231">
        <v>29.1666666666667</v>
      </c>
      <c r="Z231">
        <v>24.999999999999979</v>
      </c>
      <c r="AB231">
        <v>164.5678305666861</v>
      </c>
      <c r="AC231">
        <v>150.257584430452</v>
      </c>
      <c r="AD231">
        <v>186.03319977103641</v>
      </c>
      <c r="AE231">
        <v>200.3434459072696</v>
      </c>
      <c r="AF231">
        <v>23.958333333333378</v>
      </c>
      <c r="AG231">
        <v>21.874999999999961</v>
      </c>
      <c r="AH231">
        <v>27.083333333333378</v>
      </c>
      <c r="AI231">
        <v>29.166666666666661</v>
      </c>
      <c r="AK231">
        <v>143.5185185185187</v>
      </c>
      <c r="AL231">
        <v>78.703703703703923</v>
      </c>
      <c r="AM231">
        <v>106.4814814814813</v>
      </c>
      <c r="AN231">
        <v>115.7407407407409</v>
      </c>
      <c r="AO231">
        <v>32.291666666666707</v>
      </c>
      <c r="AP231">
        <v>17.708333333333389</v>
      </c>
      <c r="AQ231">
        <v>23.9583333333333</v>
      </c>
      <c r="AR231">
        <v>26.0416666666667</v>
      </c>
    </row>
    <row r="232" spans="1:44" x14ac:dyDescent="0.2">
      <c r="A232">
        <v>159.38795027095969</v>
      </c>
      <c r="B232">
        <v>132.8232918924659</v>
      </c>
      <c r="C232">
        <v>185.95260864945249</v>
      </c>
      <c r="D232">
        <v>172.6702794602061</v>
      </c>
      <c r="E232">
        <v>25.000000000000028</v>
      </c>
      <c r="F232">
        <v>20.83333333333329</v>
      </c>
      <c r="G232">
        <v>29.166666666666629</v>
      </c>
      <c r="H232">
        <v>27.083333333333329</v>
      </c>
      <c r="J232">
        <v>138.0106393656533</v>
      </c>
      <c r="K232">
        <v>144.28385024590989</v>
      </c>
      <c r="L232">
        <v>156.83027200642391</v>
      </c>
      <c r="M232">
        <v>163.1034828866805</v>
      </c>
      <c r="N232">
        <v>22.916666666666739</v>
      </c>
      <c r="O232">
        <v>23.958333333333339</v>
      </c>
      <c r="P232">
        <v>26.041666666666689</v>
      </c>
      <c r="Q232">
        <v>27.08333333333329</v>
      </c>
      <c r="S232">
        <v>127.0432794105191</v>
      </c>
      <c r="T232">
        <v>132.3367493859578</v>
      </c>
      <c r="U232">
        <v>121.7498094350813</v>
      </c>
      <c r="V232">
        <v>127.0432794105191</v>
      </c>
      <c r="W232">
        <v>24.999999999999979</v>
      </c>
      <c r="X232">
        <v>26.041666666666721</v>
      </c>
      <c r="Y232">
        <v>23.95833333333341</v>
      </c>
      <c r="Z232">
        <v>24.999999999999979</v>
      </c>
      <c r="AB232">
        <v>164.5678305666861</v>
      </c>
      <c r="AC232">
        <v>164.5678305666861</v>
      </c>
      <c r="AD232">
        <v>150.257584430452</v>
      </c>
      <c r="AE232">
        <v>214.65369204350279</v>
      </c>
      <c r="AF232">
        <v>23.958333333333378</v>
      </c>
      <c r="AG232">
        <v>23.958333333333378</v>
      </c>
      <c r="AH232">
        <v>21.874999999999961</v>
      </c>
      <c r="AI232">
        <v>31.24999999999995</v>
      </c>
      <c r="AK232">
        <v>143.5185185185187</v>
      </c>
      <c r="AL232">
        <v>138.88888888888869</v>
      </c>
      <c r="AM232">
        <v>166.66666666666649</v>
      </c>
      <c r="AO232">
        <v>32.291666666666707</v>
      </c>
      <c r="AP232">
        <v>31.249999999999961</v>
      </c>
      <c r="AQ232">
        <v>37.499999999999972</v>
      </c>
    </row>
    <row r="233" spans="1:44" x14ac:dyDescent="0.2">
      <c r="A233">
        <v>146.10562108171331</v>
      </c>
      <c r="B233">
        <v>139.46445648708959</v>
      </c>
      <c r="C233">
        <v>172.6702794602061</v>
      </c>
      <c r="D233">
        <v>179.31144405482971</v>
      </c>
      <c r="E233">
        <v>22.916666666666728</v>
      </c>
      <c r="F233">
        <v>21.875000000000011</v>
      </c>
      <c r="G233">
        <v>27.083333333333329</v>
      </c>
      <c r="H233">
        <v>28.12500000000005</v>
      </c>
      <c r="J233">
        <v>125.4642176051393</v>
      </c>
      <c r="K233">
        <v>144.28385024590989</v>
      </c>
      <c r="L233">
        <v>175.64990464719449</v>
      </c>
      <c r="M233">
        <v>169.3766937669379</v>
      </c>
      <c r="N233">
        <v>20.833333333333378</v>
      </c>
      <c r="O233">
        <v>23.958333333333339</v>
      </c>
      <c r="P233">
        <v>29.16666666666665</v>
      </c>
      <c r="Q233">
        <v>28.125000000000039</v>
      </c>
      <c r="S233">
        <v>142.92368933683429</v>
      </c>
      <c r="T233">
        <v>89.988989582450813</v>
      </c>
      <c r="U233">
        <v>148.21715931227209</v>
      </c>
      <c r="V233">
        <v>132.3367493859578</v>
      </c>
      <c r="W233">
        <v>28.125000000000039</v>
      </c>
      <c r="X233">
        <v>17.708333333333279</v>
      </c>
      <c r="Y233">
        <v>29.166666666666611</v>
      </c>
      <c r="Z233">
        <v>26.041666666666721</v>
      </c>
      <c r="AB233">
        <v>186.03319977103641</v>
      </c>
      <c r="AC233">
        <v>107.32684602175139</v>
      </c>
      <c r="AD233">
        <v>214.65369204350279</v>
      </c>
      <c r="AE233">
        <v>164.5678305666861</v>
      </c>
      <c r="AF233">
        <v>27.083333333333378</v>
      </c>
      <c r="AG233">
        <v>15.62499999999997</v>
      </c>
      <c r="AH233">
        <v>31.24999999999995</v>
      </c>
      <c r="AI233">
        <v>23.958333333333378</v>
      </c>
      <c r="AK233">
        <v>171.29629629629611</v>
      </c>
      <c r="AL233">
        <v>162.03703703703741</v>
      </c>
      <c r="AM233">
        <v>106.48148148148179</v>
      </c>
      <c r="AO233">
        <v>38.541666666666622</v>
      </c>
      <c r="AP233">
        <v>36.458333333333421</v>
      </c>
      <c r="AQ233">
        <v>23.9583333333334</v>
      </c>
    </row>
    <row r="234" spans="1:44" x14ac:dyDescent="0.2">
      <c r="A234">
        <v>139.46445648708959</v>
      </c>
      <c r="B234">
        <v>139.46445648708959</v>
      </c>
      <c r="C234">
        <v>185.95260864945249</v>
      </c>
      <c r="D234">
        <v>159.38795027095969</v>
      </c>
      <c r="E234">
        <v>21.875000000000011</v>
      </c>
      <c r="F234">
        <v>21.875000000000011</v>
      </c>
      <c r="G234">
        <v>29.166666666666629</v>
      </c>
      <c r="H234">
        <v>25.000000000000028</v>
      </c>
      <c r="J234">
        <v>112.9177958446253</v>
      </c>
      <c r="K234">
        <v>138.0106393656533</v>
      </c>
      <c r="L234">
        <v>169.3766937669379</v>
      </c>
      <c r="M234">
        <v>169.3766937669379</v>
      </c>
      <c r="N234">
        <v>18.750000000000028</v>
      </c>
      <c r="O234">
        <v>22.916666666666739</v>
      </c>
      <c r="P234">
        <v>28.125000000000039</v>
      </c>
      <c r="Q234">
        <v>28.125000000000039</v>
      </c>
      <c r="S234">
        <v>121.7498094350813</v>
      </c>
      <c r="T234">
        <v>105.86939950876599</v>
      </c>
      <c r="U234">
        <v>148.21715931227209</v>
      </c>
      <c r="V234">
        <v>148.21715931227209</v>
      </c>
      <c r="W234">
        <v>23.95833333333341</v>
      </c>
      <c r="X234">
        <v>20.833333333333339</v>
      </c>
      <c r="Y234">
        <v>29.166666666666611</v>
      </c>
      <c r="Z234">
        <v>29.166666666666611</v>
      </c>
      <c r="AB234">
        <v>193.18832283915251</v>
      </c>
      <c r="AC234">
        <v>121.63709215798551</v>
      </c>
      <c r="AD234">
        <v>193.18832283915251</v>
      </c>
      <c r="AE234">
        <v>171.72295363480231</v>
      </c>
      <c r="AF234">
        <v>28.12499999999995</v>
      </c>
      <c r="AG234">
        <v>17.708333333333389</v>
      </c>
      <c r="AH234">
        <v>28.12499999999995</v>
      </c>
      <c r="AI234">
        <v>24.999999999999961</v>
      </c>
      <c r="AK234">
        <v>111.1111111111113</v>
      </c>
      <c r="AL234">
        <v>106.48148148148179</v>
      </c>
      <c r="AM234">
        <v>111.1111111111113</v>
      </c>
      <c r="AN234">
        <v>115.7407407407409</v>
      </c>
      <c r="AO234">
        <v>25.00000000000005</v>
      </c>
      <c r="AP234">
        <v>23.9583333333334</v>
      </c>
      <c r="AQ234">
        <v>25.00000000000005</v>
      </c>
      <c r="AR234">
        <v>26.0416666666667</v>
      </c>
    </row>
    <row r="235" spans="1:44" x14ac:dyDescent="0.2">
      <c r="A235">
        <v>146.10562108171331</v>
      </c>
      <c r="B235">
        <v>146.10562108171331</v>
      </c>
      <c r="C235">
        <v>179.31144405482971</v>
      </c>
      <c r="D235">
        <v>172.6702794602061</v>
      </c>
      <c r="E235">
        <v>22.916666666666728</v>
      </c>
      <c r="F235">
        <v>22.916666666666728</v>
      </c>
      <c r="G235">
        <v>28.12500000000005</v>
      </c>
      <c r="H235">
        <v>27.083333333333329</v>
      </c>
      <c r="J235">
        <v>125.4642176051393</v>
      </c>
      <c r="K235">
        <v>144.28385024590989</v>
      </c>
      <c r="L235">
        <v>163.1034828866805</v>
      </c>
      <c r="M235">
        <v>169.3766937669379</v>
      </c>
      <c r="N235">
        <v>20.833333333333378</v>
      </c>
      <c r="O235">
        <v>23.958333333333339</v>
      </c>
      <c r="P235">
        <v>27.08333333333329</v>
      </c>
      <c r="Q235">
        <v>28.125000000000039</v>
      </c>
      <c r="S235">
        <v>105.86939950876599</v>
      </c>
      <c r="T235">
        <v>116.45633945964251</v>
      </c>
      <c r="U235">
        <v>142.92368933683429</v>
      </c>
      <c r="V235">
        <v>111.16286948420471</v>
      </c>
      <c r="W235">
        <v>20.833333333333339</v>
      </c>
      <c r="X235">
        <v>22.916666666666661</v>
      </c>
      <c r="Y235">
        <v>28.125000000000039</v>
      </c>
      <c r="Z235">
        <v>21.875000000000089</v>
      </c>
      <c r="AB235">
        <v>186.03319977103641</v>
      </c>
      <c r="AC235">
        <v>150.257584430452</v>
      </c>
      <c r="AD235">
        <v>171.72295363480231</v>
      </c>
      <c r="AE235">
        <v>193.18832283915251</v>
      </c>
      <c r="AF235">
        <v>27.083333333333378</v>
      </c>
      <c r="AG235">
        <v>21.874999999999961</v>
      </c>
      <c r="AH235">
        <v>24.999999999999961</v>
      </c>
      <c r="AI235">
        <v>28.12499999999995</v>
      </c>
      <c r="AK235">
        <v>106.48148148148179</v>
      </c>
      <c r="AL235">
        <v>106.48148148148179</v>
      </c>
      <c r="AM235">
        <v>64.814814814814781</v>
      </c>
      <c r="AN235">
        <v>166.666666666667</v>
      </c>
      <c r="AO235">
        <v>23.9583333333334</v>
      </c>
      <c r="AP235">
        <v>23.9583333333334</v>
      </c>
      <c r="AQ235">
        <v>14.58333333333333</v>
      </c>
      <c r="AR235">
        <v>37.500000000000071</v>
      </c>
    </row>
    <row r="236" spans="1:44" x14ac:dyDescent="0.2">
      <c r="A236">
        <v>139.46445648708959</v>
      </c>
      <c r="B236">
        <v>146.10562108171331</v>
      </c>
      <c r="C236">
        <v>179.31144405482971</v>
      </c>
      <c r="D236">
        <v>172.67027946020701</v>
      </c>
      <c r="E236">
        <v>21.875000000000011</v>
      </c>
      <c r="F236">
        <v>22.916666666666728</v>
      </c>
      <c r="G236">
        <v>28.12500000000005</v>
      </c>
      <c r="H236">
        <v>27.083333333333471</v>
      </c>
      <c r="J236">
        <v>163.1034828866805</v>
      </c>
      <c r="K236">
        <v>112.9177958446253</v>
      </c>
      <c r="L236">
        <v>188.19632640770851</v>
      </c>
      <c r="M236">
        <v>131.7374284853959</v>
      </c>
      <c r="N236">
        <v>27.08333333333329</v>
      </c>
      <c r="O236">
        <v>18.750000000000028</v>
      </c>
      <c r="P236">
        <v>31.25</v>
      </c>
      <c r="Q236">
        <v>21.874999999999989</v>
      </c>
      <c r="S236">
        <v>132.3367493859578</v>
      </c>
      <c r="T236">
        <v>127.0432794105191</v>
      </c>
      <c r="U236">
        <v>111.1628694842038</v>
      </c>
      <c r="V236">
        <v>137.6302193613956</v>
      </c>
      <c r="W236">
        <v>26.041666666666721</v>
      </c>
      <c r="X236">
        <v>24.999999999999979</v>
      </c>
      <c r="Y236">
        <v>21.874999999999911</v>
      </c>
      <c r="Z236">
        <v>27.08333333333329</v>
      </c>
      <c r="AB236">
        <v>164.5678305666861</v>
      </c>
      <c r="AC236">
        <v>164.5678305666861</v>
      </c>
      <c r="AD236">
        <v>164.5678305666861</v>
      </c>
      <c r="AE236">
        <v>186.03319977103641</v>
      </c>
      <c r="AF236">
        <v>23.958333333333378</v>
      </c>
      <c r="AG236">
        <v>23.958333333333378</v>
      </c>
      <c r="AH236">
        <v>23.958333333333378</v>
      </c>
      <c r="AI236">
        <v>27.083333333333378</v>
      </c>
      <c r="AK236">
        <v>111.1111111111113</v>
      </c>
      <c r="AL236">
        <v>106.48148148148179</v>
      </c>
      <c r="AM236">
        <v>64.814814814814781</v>
      </c>
      <c r="AN236">
        <v>171.2962962962965</v>
      </c>
      <c r="AO236">
        <v>25.00000000000005</v>
      </c>
      <c r="AP236">
        <v>23.9583333333334</v>
      </c>
      <c r="AQ236">
        <v>14.58333333333333</v>
      </c>
      <c r="AR236">
        <v>38.541666666666721</v>
      </c>
    </row>
    <row r="237" spans="1:44" x14ac:dyDescent="0.2">
      <c r="A237">
        <v>139.46445648708871</v>
      </c>
      <c r="B237">
        <v>132.8232918924659</v>
      </c>
      <c r="C237">
        <v>185.9526086494534</v>
      </c>
      <c r="D237">
        <v>159.38795027095881</v>
      </c>
      <c r="E237">
        <v>21.874999999999861</v>
      </c>
      <c r="F237">
        <v>20.83333333333329</v>
      </c>
      <c r="G237">
        <v>29.166666666666771</v>
      </c>
      <c r="H237">
        <v>24.999999999999879</v>
      </c>
      <c r="J237">
        <v>119.1910067248818</v>
      </c>
      <c r="K237">
        <v>144.28385024590989</v>
      </c>
      <c r="L237">
        <v>175.6499046471954</v>
      </c>
      <c r="M237">
        <v>175.64990464719449</v>
      </c>
      <c r="N237">
        <v>19.791666666666629</v>
      </c>
      <c r="O237">
        <v>23.958333333333339</v>
      </c>
      <c r="P237">
        <v>29.166666666666799</v>
      </c>
      <c r="Q237">
        <v>29.16666666666665</v>
      </c>
      <c r="S237">
        <v>142.92368933683429</v>
      </c>
      <c r="T237">
        <v>84.695519607013011</v>
      </c>
      <c r="U237">
        <v>142.92368933683429</v>
      </c>
      <c r="V237">
        <v>137.6302193613956</v>
      </c>
      <c r="W237">
        <v>28.125000000000039</v>
      </c>
      <c r="X237">
        <v>16.66666666666671</v>
      </c>
      <c r="Y237">
        <v>28.125000000000039</v>
      </c>
      <c r="Z237">
        <v>27.08333333333329</v>
      </c>
      <c r="AB237">
        <v>214.65369204350279</v>
      </c>
      <c r="AC237">
        <v>157.4127074985681</v>
      </c>
      <c r="AD237">
        <v>164.5678305666861</v>
      </c>
      <c r="AE237">
        <v>171.72295363480231</v>
      </c>
      <c r="AF237">
        <v>31.24999999999995</v>
      </c>
      <c r="AG237">
        <v>22.91666666666654</v>
      </c>
      <c r="AH237">
        <v>23.958333333333378</v>
      </c>
      <c r="AI237">
        <v>24.999999999999961</v>
      </c>
      <c r="AK237">
        <v>166.666666666667</v>
      </c>
      <c r="AL237">
        <v>162.03703703703741</v>
      </c>
      <c r="AM237">
        <v>106.48148148148179</v>
      </c>
      <c r="AO237">
        <v>37.500000000000071</v>
      </c>
      <c r="AP237">
        <v>36.458333333333421</v>
      </c>
      <c r="AQ237">
        <v>23.9583333333334</v>
      </c>
    </row>
    <row r="238" spans="1:44" x14ac:dyDescent="0.2">
      <c r="A238">
        <v>139.46445648708871</v>
      </c>
      <c r="B238">
        <v>139.46445648708871</v>
      </c>
      <c r="C238">
        <v>179.3114440548288</v>
      </c>
      <c r="D238">
        <v>166.0291148655833</v>
      </c>
      <c r="E238">
        <v>21.874999999999861</v>
      </c>
      <c r="F238">
        <v>21.874999999999861</v>
      </c>
      <c r="G238">
        <v>28.124999999999901</v>
      </c>
      <c r="H238">
        <v>26.04166666666675</v>
      </c>
      <c r="J238">
        <v>112.9177958446253</v>
      </c>
      <c r="K238">
        <v>144.28385024590901</v>
      </c>
      <c r="L238">
        <v>169.376693766937</v>
      </c>
      <c r="M238">
        <v>169.376693766937</v>
      </c>
      <c r="N238">
        <v>18.750000000000028</v>
      </c>
      <c r="O238">
        <v>23.95833333333319</v>
      </c>
      <c r="P238">
        <v>28.12499999999989</v>
      </c>
      <c r="Q238">
        <v>28.12499999999989</v>
      </c>
      <c r="S238">
        <v>116.45633945964251</v>
      </c>
      <c r="T238">
        <v>95.282459557889524</v>
      </c>
      <c r="U238">
        <v>158.8040992631486</v>
      </c>
      <c r="V238">
        <v>121.7498094350813</v>
      </c>
      <c r="W238">
        <v>22.916666666666661</v>
      </c>
      <c r="X238">
        <v>18.750000000000028</v>
      </c>
      <c r="Y238">
        <v>31.249999999999929</v>
      </c>
      <c r="Z238">
        <v>23.95833333333341</v>
      </c>
      <c r="AB238">
        <v>171.72295363480231</v>
      </c>
      <c r="AC238">
        <v>135.94733829421779</v>
      </c>
      <c r="AD238">
        <v>171.72295363480231</v>
      </c>
      <c r="AE238">
        <v>193.18832283915251</v>
      </c>
      <c r="AF238">
        <v>24.999999999999961</v>
      </c>
      <c r="AG238">
        <v>19.791666666666551</v>
      </c>
      <c r="AH238">
        <v>24.999999999999961</v>
      </c>
      <c r="AI238">
        <v>28.12499999999995</v>
      </c>
      <c r="AK238">
        <v>138.88888888888869</v>
      </c>
      <c r="AL238">
        <v>83.33333333333303</v>
      </c>
      <c r="AM238">
        <v>55.555555555555657</v>
      </c>
      <c r="AN238">
        <v>166.666666666667</v>
      </c>
      <c r="AO238">
        <v>31.249999999999961</v>
      </c>
      <c r="AP238">
        <v>18.749999999999929</v>
      </c>
      <c r="AQ238">
        <v>12.50000000000002</v>
      </c>
      <c r="AR238">
        <v>37.500000000000071</v>
      </c>
    </row>
    <row r="239" spans="1:44" x14ac:dyDescent="0.2">
      <c r="A239">
        <v>139.46445648708871</v>
      </c>
      <c r="B239">
        <v>139.46445648708871</v>
      </c>
      <c r="C239">
        <v>179.3114440548288</v>
      </c>
      <c r="D239">
        <v>159.38795027096239</v>
      </c>
      <c r="E239">
        <v>21.874999999999861</v>
      </c>
      <c r="F239">
        <v>21.874999999999861</v>
      </c>
      <c r="G239">
        <v>28.124999999999901</v>
      </c>
      <c r="H239">
        <v>25.000000000000451</v>
      </c>
      <c r="J239">
        <v>150.55706112616639</v>
      </c>
      <c r="K239">
        <v>125.4642176051384</v>
      </c>
      <c r="L239">
        <v>156.83027200642391</v>
      </c>
      <c r="M239">
        <v>169.37669376693881</v>
      </c>
      <c r="N239">
        <v>24.99999999999994</v>
      </c>
      <c r="O239">
        <v>20.833333333333229</v>
      </c>
      <c r="P239">
        <v>26.041666666666689</v>
      </c>
      <c r="Q239">
        <v>28.125000000000199</v>
      </c>
      <c r="S239">
        <v>142.92368933683429</v>
      </c>
      <c r="T239">
        <v>100.5759295333273</v>
      </c>
      <c r="U239">
        <v>137.6302193613956</v>
      </c>
      <c r="V239">
        <v>132.33674938595689</v>
      </c>
      <c r="W239">
        <v>28.125000000000039</v>
      </c>
      <c r="X239">
        <v>19.7916666666666</v>
      </c>
      <c r="Y239">
        <v>27.08333333333329</v>
      </c>
      <c r="Z239">
        <v>26.041666666666551</v>
      </c>
      <c r="AB239">
        <v>107.32684602175139</v>
      </c>
      <c r="AC239">
        <v>200.34344590727051</v>
      </c>
      <c r="AD239">
        <v>207.49856897538669</v>
      </c>
      <c r="AE239">
        <v>135.94733829421969</v>
      </c>
      <c r="AF239">
        <v>15.62499999999997</v>
      </c>
      <c r="AG239">
        <v>29.166666666666799</v>
      </c>
      <c r="AH239">
        <v>30.208333333333371</v>
      </c>
      <c r="AI239">
        <v>19.79166666666681</v>
      </c>
      <c r="AK239">
        <v>111.1111111111113</v>
      </c>
      <c r="AL239">
        <v>106.48148148148179</v>
      </c>
      <c r="AM239">
        <v>64.814814814814781</v>
      </c>
      <c r="AN239">
        <v>162.03703703703289</v>
      </c>
      <c r="AO239">
        <v>25.00000000000005</v>
      </c>
      <c r="AP239">
        <v>23.9583333333334</v>
      </c>
      <c r="AQ239">
        <v>14.58333333333333</v>
      </c>
      <c r="AR239">
        <v>36.458333333332398</v>
      </c>
    </row>
    <row r="240" spans="1:44" ht="31" x14ac:dyDescent="0.35">
      <c r="A240" s="3"/>
    </row>
    <row r="241" spans="1:44" ht="31" x14ac:dyDescent="0.35">
      <c r="A241" s="12" t="s">
        <v>165</v>
      </c>
      <c r="B241" s="13"/>
      <c r="C241" s="13"/>
      <c r="D241" s="13"/>
      <c r="E241" s="13"/>
      <c r="F241" s="13"/>
      <c r="G241" s="13"/>
      <c r="H241" s="13"/>
      <c r="J241" s="9" t="s">
        <v>71</v>
      </c>
      <c r="K241" s="10"/>
      <c r="L241" s="10"/>
      <c r="M241" s="10"/>
      <c r="N241" s="10"/>
      <c r="O241" s="10"/>
      <c r="P241" s="10"/>
      <c r="Q241" s="10"/>
      <c r="S241" s="1" t="s">
        <v>102</v>
      </c>
      <c r="T241" s="2"/>
      <c r="U241" s="2"/>
      <c r="V241" s="2"/>
      <c r="W241" s="2"/>
      <c r="X241" s="2"/>
      <c r="Y241" s="2"/>
      <c r="Z241" s="2"/>
      <c r="AB241" s="14" t="s">
        <v>131</v>
      </c>
      <c r="AC241" s="15"/>
      <c r="AD241" s="15"/>
      <c r="AE241" s="15"/>
      <c r="AF241" s="15"/>
      <c r="AG241" s="15"/>
      <c r="AH241" s="15"/>
      <c r="AI241" s="15"/>
      <c r="AK241" s="16" t="s">
        <v>152</v>
      </c>
      <c r="AL241" s="17"/>
      <c r="AM241" s="17"/>
      <c r="AN241" s="17"/>
      <c r="AO241" s="17"/>
      <c r="AP241" s="17"/>
      <c r="AQ241" s="18"/>
      <c r="AR241" s="17"/>
    </row>
    <row r="242" spans="1:44" ht="31" x14ac:dyDescent="0.35">
      <c r="A242" s="3" t="s">
        <v>2</v>
      </c>
      <c r="E242" s="7"/>
      <c r="F242" s="6" t="s">
        <v>166</v>
      </c>
      <c r="G242" s="6"/>
      <c r="H242" s="6"/>
      <c r="J242" s="3" t="s">
        <v>2</v>
      </c>
      <c r="N242" s="23" t="s">
        <v>18</v>
      </c>
      <c r="O242" s="6" t="s">
        <v>72</v>
      </c>
      <c r="P242" s="6"/>
      <c r="Q242" s="6"/>
      <c r="S242" s="3" t="s">
        <v>2</v>
      </c>
      <c r="W242" s="23" t="s">
        <v>18</v>
      </c>
      <c r="X242" s="24" t="s">
        <v>103</v>
      </c>
      <c r="AB242" s="3" t="s">
        <v>2</v>
      </c>
      <c r="AF242" s="23" t="s">
        <v>18</v>
      </c>
      <c r="AG242" s="24" t="s">
        <v>132</v>
      </c>
      <c r="AH242" s="19"/>
      <c r="AI242" s="19"/>
      <c r="AK242" s="3" t="s">
        <v>2</v>
      </c>
      <c r="AO242" s="6" t="s">
        <v>3</v>
      </c>
      <c r="AP242" s="6" t="s">
        <v>147</v>
      </c>
      <c r="AQ242" s="6"/>
      <c r="AR242" s="6"/>
    </row>
    <row r="243" spans="1:44" x14ac:dyDescent="0.2">
      <c r="A243" s="7">
        <v>1</v>
      </c>
      <c r="B243" s="6">
        <v>2</v>
      </c>
      <c r="C243" s="6">
        <v>3</v>
      </c>
      <c r="D243" s="6">
        <v>4</v>
      </c>
      <c r="E243" s="7">
        <v>1</v>
      </c>
      <c r="F243" s="6">
        <v>2</v>
      </c>
      <c r="G243" s="6">
        <v>3</v>
      </c>
      <c r="H243" s="6">
        <v>4</v>
      </c>
      <c r="J243" s="7">
        <v>1</v>
      </c>
      <c r="K243" s="6">
        <v>2</v>
      </c>
      <c r="L243" s="6">
        <v>3</v>
      </c>
      <c r="M243" s="6">
        <v>4</v>
      </c>
      <c r="N243" s="7">
        <v>1</v>
      </c>
      <c r="O243" s="6">
        <v>2</v>
      </c>
      <c r="P243" s="6">
        <v>3</v>
      </c>
      <c r="Q243" s="6">
        <v>4</v>
      </c>
      <c r="S243" s="7">
        <v>1</v>
      </c>
      <c r="T243" s="6">
        <v>2</v>
      </c>
      <c r="U243" s="6">
        <v>3</v>
      </c>
      <c r="V243" s="6">
        <v>4</v>
      </c>
      <c r="W243" s="7">
        <v>1</v>
      </c>
      <c r="X243" s="6">
        <v>2</v>
      </c>
      <c r="Y243" s="6">
        <v>3</v>
      </c>
      <c r="Z243" s="6">
        <v>4</v>
      </c>
      <c r="AB243" s="7">
        <v>1</v>
      </c>
      <c r="AC243" s="6">
        <v>2</v>
      </c>
      <c r="AD243" s="6">
        <v>3</v>
      </c>
      <c r="AE243" s="6">
        <v>4</v>
      </c>
      <c r="AF243" s="7">
        <v>1</v>
      </c>
      <c r="AG243" s="6">
        <v>2</v>
      </c>
      <c r="AH243" s="6">
        <v>3</v>
      </c>
      <c r="AI243" s="6">
        <v>4</v>
      </c>
      <c r="AK243" s="7">
        <v>1</v>
      </c>
      <c r="AL243" s="6">
        <v>2</v>
      </c>
      <c r="AM243" s="6">
        <v>3</v>
      </c>
      <c r="AN243" s="6">
        <v>4</v>
      </c>
      <c r="AO243" s="7">
        <v>1</v>
      </c>
      <c r="AP243" s="6">
        <v>2</v>
      </c>
      <c r="AQ243" s="6">
        <v>3</v>
      </c>
      <c r="AR243" s="6">
        <v>4</v>
      </c>
    </row>
    <row r="244" spans="1:44" x14ac:dyDescent="0.2">
      <c r="A244">
        <v>148.1958762886598</v>
      </c>
      <c r="B244">
        <v>148.1958762886598</v>
      </c>
      <c r="C244">
        <v>167.5257731958763</v>
      </c>
      <c r="D244">
        <v>161.08247422680421</v>
      </c>
      <c r="E244">
        <v>23.958333333333339</v>
      </c>
      <c r="F244">
        <v>23.958333333333339</v>
      </c>
      <c r="G244">
        <v>27.083333333333329</v>
      </c>
      <c r="H244">
        <v>26.041666666666671</v>
      </c>
      <c r="J244">
        <v>138.22115384615381</v>
      </c>
      <c r="K244">
        <v>144.23076923076931</v>
      </c>
      <c r="L244">
        <v>144.2307692307692</v>
      </c>
      <c r="M244">
        <v>162.2596153846153</v>
      </c>
      <c r="N244">
        <v>23.958333333333339</v>
      </c>
      <c r="O244">
        <v>25</v>
      </c>
      <c r="P244">
        <v>25</v>
      </c>
      <c r="Q244">
        <v>28.124999999999989</v>
      </c>
      <c r="S244">
        <v>77.942322681215884</v>
      </c>
      <c r="T244">
        <v>136.39906469212781</v>
      </c>
      <c r="U244">
        <v>121.7848791893998</v>
      </c>
      <c r="V244">
        <v>131.52766952455181</v>
      </c>
      <c r="W244">
        <v>16.666666666666661</v>
      </c>
      <c r="X244">
        <v>29.166666666666661</v>
      </c>
      <c r="Y244">
        <v>26.041666666666661</v>
      </c>
      <c r="Z244">
        <v>28.125</v>
      </c>
      <c r="AB244">
        <v>212.84566135403901</v>
      </c>
      <c r="AC244">
        <v>212.84566135403901</v>
      </c>
      <c r="AD244">
        <v>195.8180084457158</v>
      </c>
      <c r="AE244">
        <v>221.3594878082005</v>
      </c>
      <c r="AF244">
        <v>26.041666666666671</v>
      </c>
      <c r="AG244">
        <v>26.041666666666671</v>
      </c>
      <c r="AH244">
        <v>23.958333333333329</v>
      </c>
      <c r="AI244">
        <v>27.083333333333329</v>
      </c>
      <c r="AK244">
        <v>111.1111111111111</v>
      </c>
      <c r="AL244">
        <v>106.4814814814815</v>
      </c>
      <c r="AM244">
        <v>69.4444444444444</v>
      </c>
      <c r="AN244">
        <v>157.40740740740739</v>
      </c>
      <c r="AO244">
        <v>25</v>
      </c>
      <c r="AP244">
        <v>23.958333333333329</v>
      </c>
      <c r="AQ244">
        <v>15.624999999999989</v>
      </c>
      <c r="AR244">
        <v>35.416666666666671</v>
      </c>
    </row>
    <row r="245" spans="1:44" x14ac:dyDescent="0.2">
      <c r="A245">
        <v>141.75257731958769</v>
      </c>
      <c r="B245">
        <v>141.75257731958769</v>
      </c>
      <c r="C245">
        <v>167.52577319587621</v>
      </c>
      <c r="D245">
        <v>167.52577319587641</v>
      </c>
      <c r="E245">
        <v>22.916666666666671</v>
      </c>
      <c r="F245">
        <v>22.916666666666671</v>
      </c>
      <c r="G245">
        <v>27.083333333333321</v>
      </c>
      <c r="H245">
        <v>27.083333333333339</v>
      </c>
      <c r="J245">
        <v>126.20192307692309</v>
      </c>
      <c r="K245">
        <v>144.23076923076931</v>
      </c>
      <c r="L245">
        <v>156.25</v>
      </c>
      <c r="M245">
        <v>150.2403846153845</v>
      </c>
      <c r="N245">
        <v>21.875</v>
      </c>
      <c r="O245">
        <v>25.000000000000011</v>
      </c>
      <c r="P245">
        <v>27.083333333333339</v>
      </c>
      <c r="Q245">
        <v>26.04166666666665</v>
      </c>
      <c r="S245">
        <v>102.2992985190959</v>
      </c>
      <c r="T245">
        <v>107.1706936866718</v>
      </c>
      <c r="U245">
        <v>131.52766952455181</v>
      </c>
      <c r="V245">
        <v>131.52766952455181</v>
      </c>
      <c r="W245">
        <v>21.875</v>
      </c>
      <c r="X245">
        <v>22.916666666666661</v>
      </c>
      <c r="Y245">
        <v>28.125</v>
      </c>
      <c r="Z245">
        <v>28.125</v>
      </c>
      <c r="AB245">
        <v>187.3041819915544</v>
      </c>
      <c r="AC245">
        <v>170.27652908323131</v>
      </c>
      <c r="AD245">
        <v>229.8733142623621</v>
      </c>
      <c r="AE245">
        <v>221.35948780820061</v>
      </c>
      <c r="AF245">
        <v>22.916666666666679</v>
      </c>
      <c r="AG245">
        <v>20.833333333333339</v>
      </c>
      <c r="AH245">
        <v>28.125</v>
      </c>
      <c r="AI245">
        <v>27.083333333333339</v>
      </c>
      <c r="AK245">
        <v>175.9259259259259</v>
      </c>
      <c r="AL245">
        <v>134.25925925925921</v>
      </c>
      <c r="AM245">
        <v>134.25925925925921</v>
      </c>
      <c r="AO245">
        <v>39.583333333333329</v>
      </c>
      <c r="AP245">
        <v>30.208333333333329</v>
      </c>
      <c r="AQ245">
        <v>30.208333333333329</v>
      </c>
    </row>
    <row r="246" spans="1:44" x14ac:dyDescent="0.2">
      <c r="A246">
        <v>148.19587628865969</v>
      </c>
      <c r="B246">
        <v>141.7525773195878</v>
      </c>
      <c r="C246">
        <v>173.96907216494861</v>
      </c>
      <c r="D246">
        <v>154.63917525773189</v>
      </c>
      <c r="E246">
        <v>23.958333333333321</v>
      </c>
      <c r="F246">
        <v>22.916666666666689</v>
      </c>
      <c r="G246">
        <v>28.125000000000011</v>
      </c>
      <c r="H246">
        <v>24.999999999999989</v>
      </c>
      <c r="J246">
        <v>144.23076923076931</v>
      </c>
      <c r="K246">
        <v>132.21153846153859</v>
      </c>
      <c r="L246">
        <v>144.23076923076931</v>
      </c>
      <c r="M246">
        <v>156.25</v>
      </c>
      <c r="N246">
        <v>25.000000000000011</v>
      </c>
      <c r="O246">
        <v>22.916666666666689</v>
      </c>
      <c r="P246">
        <v>25.000000000000011</v>
      </c>
      <c r="Q246">
        <v>27.083333333333339</v>
      </c>
      <c r="S246">
        <v>121.7848791893998</v>
      </c>
      <c r="T246">
        <v>121.7848791893998</v>
      </c>
      <c r="U246">
        <v>97.427903351519944</v>
      </c>
      <c r="V246">
        <v>131.52766952455181</v>
      </c>
      <c r="W246">
        <v>26.041666666666661</v>
      </c>
      <c r="X246">
        <v>26.041666666666661</v>
      </c>
      <c r="Y246">
        <v>20.83333333333335</v>
      </c>
      <c r="Z246">
        <v>28.125</v>
      </c>
      <c r="AB246">
        <v>187.30418199155429</v>
      </c>
      <c r="AC246">
        <v>212.84566135403881</v>
      </c>
      <c r="AD246">
        <v>212.84566135403881</v>
      </c>
      <c r="AE246">
        <v>221.35948780820041</v>
      </c>
      <c r="AF246">
        <v>22.916666666666671</v>
      </c>
      <c r="AG246">
        <v>26.04166666666665</v>
      </c>
      <c r="AH246">
        <v>26.04166666666665</v>
      </c>
      <c r="AI246">
        <v>27.083333333333311</v>
      </c>
      <c r="AK246">
        <v>101.85185185185181</v>
      </c>
      <c r="AL246">
        <v>101.85185185185181</v>
      </c>
      <c r="AM246">
        <v>120.3703703703704</v>
      </c>
      <c r="AN246">
        <v>120.3703703703704</v>
      </c>
      <c r="AO246">
        <v>22.916666666666671</v>
      </c>
      <c r="AP246">
        <v>22.916666666666671</v>
      </c>
      <c r="AQ246">
        <v>27.08333333333335</v>
      </c>
      <c r="AR246">
        <v>27.08333333333335</v>
      </c>
    </row>
    <row r="247" spans="1:44" x14ac:dyDescent="0.2">
      <c r="A247">
        <v>122.42268041237119</v>
      </c>
      <c r="B247">
        <v>161.08247422680441</v>
      </c>
      <c r="C247">
        <v>161.08247422680421</v>
      </c>
      <c r="D247">
        <v>173.96907216494861</v>
      </c>
      <c r="E247">
        <v>19.791666666666671</v>
      </c>
      <c r="F247">
        <v>26.04166666666671</v>
      </c>
      <c r="G247">
        <v>26.041666666666671</v>
      </c>
      <c r="H247">
        <v>28.125000000000011</v>
      </c>
      <c r="J247">
        <v>138.22115384615381</v>
      </c>
      <c r="K247">
        <v>138.22115384615381</v>
      </c>
      <c r="L247">
        <v>156.2500000000002</v>
      </c>
      <c r="M247">
        <v>150.24038461538481</v>
      </c>
      <c r="N247">
        <v>23.958333333333329</v>
      </c>
      <c r="O247">
        <v>23.958333333333329</v>
      </c>
      <c r="P247">
        <v>27.083333333333371</v>
      </c>
      <c r="Q247">
        <v>26.041666666666689</v>
      </c>
      <c r="S247">
        <v>112.04208885424779</v>
      </c>
      <c r="T247">
        <v>116.91348402182371</v>
      </c>
      <c r="U247">
        <v>126.6562743569757</v>
      </c>
      <c r="V247">
        <v>126.6562743569757</v>
      </c>
      <c r="W247">
        <v>23.958333333333329</v>
      </c>
      <c r="X247">
        <v>24.999999999999972</v>
      </c>
      <c r="Y247">
        <v>27.0833333333333</v>
      </c>
      <c r="Z247">
        <v>27.0833333333333</v>
      </c>
      <c r="AB247">
        <v>195.8180084457158</v>
      </c>
      <c r="AC247">
        <v>221.35948780820041</v>
      </c>
      <c r="AD247">
        <v>170.27652908323131</v>
      </c>
      <c r="AE247">
        <v>204.33183489987729</v>
      </c>
      <c r="AF247">
        <v>23.958333333333329</v>
      </c>
      <c r="AG247">
        <v>27.083333333333311</v>
      </c>
      <c r="AH247">
        <v>20.833333333333339</v>
      </c>
      <c r="AI247">
        <v>24.999999999999989</v>
      </c>
      <c r="AK247">
        <v>115.74074074074061</v>
      </c>
      <c r="AL247">
        <v>115.74074074074061</v>
      </c>
      <c r="AM247">
        <v>87.962962962963047</v>
      </c>
      <c r="AN247">
        <v>125</v>
      </c>
      <c r="AO247">
        <v>26.04166666666665</v>
      </c>
      <c r="AP247">
        <v>26.04166666666665</v>
      </c>
      <c r="AQ247">
        <v>19.791666666666689</v>
      </c>
      <c r="AR247">
        <v>28.125000000000011</v>
      </c>
    </row>
    <row r="248" spans="1:44" x14ac:dyDescent="0.2">
      <c r="A248">
        <v>148.19587628865969</v>
      </c>
      <c r="B248">
        <v>141.75257731958749</v>
      </c>
      <c r="C248">
        <v>161.08247422680421</v>
      </c>
      <c r="D248">
        <v>167.52577319587641</v>
      </c>
      <c r="E248">
        <v>23.958333333333321</v>
      </c>
      <c r="F248">
        <v>22.91666666666665</v>
      </c>
      <c r="G248">
        <v>26.041666666666671</v>
      </c>
      <c r="H248">
        <v>27.083333333333339</v>
      </c>
      <c r="J248">
        <v>126.2019230769229</v>
      </c>
      <c r="K248">
        <v>150.24038461538481</v>
      </c>
      <c r="L248">
        <v>150.24038461538481</v>
      </c>
      <c r="M248">
        <v>144.23076923076911</v>
      </c>
      <c r="N248">
        <v>21.874999999999961</v>
      </c>
      <c r="O248">
        <v>26.041666666666689</v>
      </c>
      <c r="P248">
        <v>26.041666666666689</v>
      </c>
      <c r="Q248">
        <v>24.999999999999972</v>
      </c>
      <c r="S248">
        <v>87.68511301636795</v>
      </c>
      <c r="T248">
        <v>116.91348402182371</v>
      </c>
      <c r="U248">
        <v>131.52766952455201</v>
      </c>
      <c r="V248">
        <v>126.6562743569757</v>
      </c>
      <c r="W248">
        <v>18.750000000000011</v>
      </c>
      <c r="X248">
        <v>24.999999999999972</v>
      </c>
      <c r="Y248">
        <v>28.12500000000005</v>
      </c>
      <c r="Z248">
        <v>27.0833333333333</v>
      </c>
      <c r="AB248">
        <v>221.35948780820041</v>
      </c>
      <c r="AC248">
        <v>187.30418199155429</v>
      </c>
      <c r="AD248">
        <v>212.84566135403881</v>
      </c>
      <c r="AE248">
        <v>221.35948780820041</v>
      </c>
      <c r="AF248">
        <v>27.083333333333311</v>
      </c>
      <c r="AG248">
        <v>22.916666666666671</v>
      </c>
      <c r="AH248">
        <v>26.04166666666665</v>
      </c>
      <c r="AI248">
        <v>27.083333333333311</v>
      </c>
      <c r="AK248">
        <v>115.74074074074061</v>
      </c>
      <c r="AL248">
        <v>111.1111111111111</v>
      </c>
      <c r="AM248">
        <v>60.185185185184991</v>
      </c>
      <c r="AN248">
        <v>157.40740740740739</v>
      </c>
      <c r="AO248">
        <v>26.04166666666665</v>
      </c>
      <c r="AP248">
        <v>25</v>
      </c>
      <c r="AQ248">
        <v>13.54166666666662</v>
      </c>
      <c r="AR248">
        <v>35.416666666666671</v>
      </c>
    </row>
    <row r="249" spans="1:44" x14ac:dyDescent="0.2">
      <c r="A249">
        <v>154.63917525773189</v>
      </c>
      <c r="B249">
        <v>148.19587628865969</v>
      </c>
      <c r="C249">
        <v>167.52577319587641</v>
      </c>
      <c r="D249">
        <v>148.19587628865969</v>
      </c>
      <c r="E249">
        <v>24.999999999999989</v>
      </c>
      <c r="F249">
        <v>23.958333333333321</v>
      </c>
      <c r="G249">
        <v>27.083333333333339</v>
      </c>
      <c r="H249">
        <v>23.958333333333321</v>
      </c>
      <c r="J249">
        <v>132.21153846153859</v>
      </c>
      <c r="K249">
        <v>150.24038461538481</v>
      </c>
      <c r="L249">
        <v>150.24038461538481</v>
      </c>
      <c r="M249">
        <v>138.22115384615381</v>
      </c>
      <c r="N249">
        <v>22.916666666666689</v>
      </c>
      <c r="O249">
        <v>26.041666666666689</v>
      </c>
      <c r="P249">
        <v>26.041666666666689</v>
      </c>
      <c r="Q249">
        <v>23.958333333333329</v>
      </c>
      <c r="S249">
        <v>107.1706936866717</v>
      </c>
      <c r="T249">
        <v>107.1706936866717</v>
      </c>
      <c r="U249">
        <v>121.7848791893998</v>
      </c>
      <c r="V249">
        <v>121.7848791893998</v>
      </c>
      <c r="W249">
        <v>22.916666666666639</v>
      </c>
      <c r="X249">
        <v>22.916666666666639</v>
      </c>
      <c r="Y249">
        <v>26.041666666666661</v>
      </c>
      <c r="Z249">
        <v>26.041666666666661</v>
      </c>
      <c r="AB249">
        <v>187.30418199155429</v>
      </c>
      <c r="AC249">
        <v>170.27652908323131</v>
      </c>
      <c r="AD249">
        <v>221.35948780820041</v>
      </c>
      <c r="AE249">
        <v>212.84566135403929</v>
      </c>
      <c r="AF249">
        <v>22.916666666666671</v>
      </c>
      <c r="AG249">
        <v>20.833333333333339</v>
      </c>
      <c r="AH249">
        <v>27.083333333333311</v>
      </c>
      <c r="AI249">
        <v>26.04166666666671</v>
      </c>
      <c r="AK249">
        <v>175.92592592592609</v>
      </c>
      <c r="AL249">
        <v>157.40740740740739</v>
      </c>
      <c r="AM249">
        <v>111.1111111111109</v>
      </c>
      <c r="AO249">
        <v>39.583333333333378</v>
      </c>
      <c r="AP249">
        <v>35.416666666666671</v>
      </c>
      <c r="AQ249">
        <v>24.99999999999994</v>
      </c>
    </row>
    <row r="250" spans="1:44" x14ac:dyDescent="0.2">
      <c r="A250">
        <v>154.63917525773189</v>
      </c>
      <c r="B250">
        <v>148.19587628865969</v>
      </c>
      <c r="C250">
        <v>167.52577319587641</v>
      </c>
      <c r="D250">
        <v>148.19587628865969</v>
      </c>
      <c r="E250">
        <v>24.999999999999989</v>
      </c>
      <c r="F250">
        <v>23.958333333333321</v>
      </c>
      <c r="G250">
        <v>27.083333333333339</v>
      </c>
      <c r="H250">
        <v>23.958333333333321</v>
      </c>
      <c r="J250">
        <v>132.21153846153859</v>
      </c>
      <c r="K250">
        <v>150.24038461538481</v>
      </c>
      <c r="L250">
        <v>138.22115384615381</v>
      </c>
      <c r="M250">
        <v>156.25</v>
      </c>
      <c r="N250">
        <v>22.916666666666689</v>
      </c>
      <c r="O250">
        <v>26.041666666666689</v>
      </c>
      <c r="P250">
        <v>23.958333333333329</v>
      </c>
      <c r="Q250">
        <v>27.083333333333339</v>
      </c>
      <c r="S250">
        <v>116.9134840218239</v>
      </c>
      <c r="T250">
        <v>116.9134840218239</v>
      </c>
      <c r="U250">
        <v>97.427903351519944</v>
      </c>
      <c r="V250">
        <v>146.14185502727969</v>
      </c>
      <c r="W250">
        <v>25.000000000000021</v>
      </c>
      <c r="X250">
        <v>25.000000000000021</v>
      </c>
      <c r="Y250">
        <v>20.83333333333335</v>
      </c>
      <c r="Z250">
        <v>31.249999999999979</v>
      </c>
      <c r="AB250">
        <v>221.35948780820041</v>
      </c>
      <c r="AC250">
        <v>187.30418199155429</v>
      </c>
      <c r="AD250">
        <v>195.81800844571629</v>
      </c>
      <c r="AE250">
        <v>221.35948780820041</v>
      </c>
      <c r="AF250">
        <v>27.083333333333311</v>
      </c>
      <c r="AG250">
        <v>22.916666666666671</v>
      </c>
      <c r="AH250">
        <v>23.958333333333378</v>
      </c>
      <c r="AI250">
        <v>27.083333333333311</v>
      </c>
      <c r="AK250">
        <v>101.85185185185171</v>
      </c>
      <c r="AL250">
        <v>101.85185185185171</v>
      </c>
      <c r="AM250">
        <v>120.3703703703704</v>
      </c>
      <c r="AN250">
        <v>120.3703703703704</v>
      </c>
      <c r="AO250">
        <v>22.916666666666639</v>
      </c>
      <c r="AP250">
        <v>22.916666666666639</v>
      </c>
      <c r="AQ250">
        <v>27.08333333333335</v>
      </c>
      <c r="AR250">
        <v>27.08333333333335</v>
      </c>
    </row>
    <row r="251" spans="1:44" x14ac:dyDescent="0.2">
      <c r="A251">
        <v>128.86597938144311</v>
      </c>
      <c r="B251">
        <v>167.52577319587641</v>
      </c>
      <c r="C251">
        <v>167.52577319587641</v>
      </c>
      <c r="D251">
        <v>154.63917525773189</v>
      </c>
      <c r="E251">
        <v>20.8333333333333</v>
      </c>
      <c r="F251">
        <v>27.083333333333339</v>
      </c>
      <c r="G251">
        <v>27.083333333333339</v>
      </c>
      <c r="H251">
        <v>24.999999999999989</v>
      </c>
      <c r="J251">
        <v>150.2403846153843</v>
      </c>
      <c r="K251">
        <v>132.21153846153811</v>
      </c>
      <c r="L251">
        <v>144.23076923076951</v>
      </c>
      <c r="M251">
        <v>162.25961538461519</v>
      </c>
      <c r="N251">
        <v>26.041666666666611</v>
      </c>
      <c r="O251">
        <v>22.916666666666611</v>
      </c>
      <c r="P251">
        <v>25.00000000000005</v>
      </c>
      <c r="Q251">
        <v>28.124999999999979</v>
      </c>
      <c r="S251">
        <v>92.556508183944061</v>
      </c>
      <c r="T251">
        <v>92.556508183944061</v>
      </c>
      <c r="U251">
        <v>146.14185502727969</v>
      </c>
      <c r="V251">
        <v>136.39906469212789</v>
      </c>
      <c r="W251">
        <v>19.79166666666671</v>
      </c>
      <c r="X251">
        <v>19.79166666666671</v>
      </c>
      <c r="Y251">
        <v>31.249999999999979</v>
      </c>
      <c r="Z251">
        <v>29.166666666666689</v>
      </c>
      <c r="AB251">
        <v>212.84566135403929</v>
      </c>
      <c r="AC251">
        <v>187.30418199155429</v>
      </c>
      <c r="AD251">
        <v>212.84566135403929</v>
      </c>
      <c r="AE251">
        <v>204.33183489987729</v>
      </c>
      <c r="AF251">
        <v>26.04166666666671</v>
      </c>
      <c r="AG251">
        <v>22.916666666666671</v>
      </c>
      <c r="AH251">
        <v>26.04166666666671</v>
      </c>
      <c r="AI251">
        <v>24.999999999999989</v>
      </c>
      <c r="AK251">
        <v>115.7407407407409</v>
      </c>
      <c r="AL251">
        <v>115.7407407407409</v>
      </c>
      <c r="AM251">
        <v>87.962962962963047</v>
      </c>
      <c r="AN251">
        <v>125</v>
      </c>
      <c r="AO251">
        <v>26.0416666666667</v>
      </c>
      <c r="AP251">
        <v>26.0416666666667</v>
      </c>
      <c r="AQ251">
        <v>19.791666666666689</v>
      </c>
      <c r="AR251">
        <v>28.125000000000011</v>
      </c>
    </row>
    <row r="252" spans="1:44" x14ac:dyDescent="0.2">
      <c r="A252">
        <v>141.75257731958749</v>
      </c>
      <c r="B252">
        <v>141.75257731958749</v>
      </c>
      <c r="C252">
        <v>173.96907216494861</v>
      </c>
      <c r="D252">
        <v>161.08247422680421</v>
      </c>
      <c r="E252">
        <v>22.91666666666665</v>
      </c>
      <c r="F252">
        <v>22.91666666666665</v>
      </c>
      <c r="G252">
        <v>28.125000000000011</v>
      </c>
      <c r="H252">
        <v>26.041666666666671</v>
      </c>
      <c r="J252">
        <v>126.2019230769229</v>
      </c>
      <c r="K252">
        <v>132.21153846153811</v>
      </c>
      <c r="L252">
        <v>156.25</v>
      </c>
      <c r="M252">
        <v>132.21153846153811</v>
      </c>
      <c r="N252">
        <v>21.874999999999961</v>
      </c>
      <c r="O252">
        <v>22.916666666666611</v>
      </c>
      <c r="P252">
        <v>27.083333333333339</v>
      </c>
      <c r="Q252">
        <v>22.916666666666611</v>
      </c>
      <c r="S252">
        <v>73.070927513640072</v>
      </c>
      <c r="T252">
        <v>136.39906469212789</v>
      </c>
      <c r="U252">
        <v>126.6562743569757</v>
      </c>
      <c r="V252">
        <v>126.6562743569757</v>
      </c>
      <c r="W252">
        <v>15.625000000000041</v>
      </c>
      <c r="X252">
        <v>29.166666666666689</v>
      </c>
      <c r="Y252">
        <v>27.0833333333333</v>
      </c>
      <c r="Z252">
        <v>27.0833333333333</v>
      </c>
      <c r="AB252">
        <v>212.84566135403929</v>
      </c>
      <c r="AC252">
        <v>212.84566135403929</v>
      </c>
      <c r="AD252">
        <v>170.27652908323131</v>
      </c>
      <c r="AE252">
        <v>255.4147936248464</v>
      </c>
      <c r="AF252">
        <v>26.04166666666671</v>
      </c>
      <c r="AG252">
        <v>26.04166666666671</v>
      </c>
      <c r="AH252">
        <v>20.833333333333339</v>
      </c>
      <c r="AI252">
        <v>31.249999999999961</v>
      </c>
      <c r="AK252">
        <v>143.5185185185187</v>
      </c>
      <c r="AL252">
        <v>143.5185185185187</v>
      </c>
      <c r="AM252">
        <v>162.03703703703701</v>
      </c>
      <c r="AO252">
        <v>32.291666666666707</v>
      </c>
      <c r="AP252">
        <v>32.291666666666707</v>
      </c>
      <c r="AQ252">
        <v>36.458333333333321</v>
      </c>
    </row>
    <row r="253" spans="1:44" x14ac:dyDescent="0.2">
      <c r="A253">
        <v>148.19587628865969</v>
      </c>
      <c r="B253">
        <v>148.19587628865969</v>
      </c>
      <c r="C253">
        <v>161.08247422680421</v>
      </c>
      <c r="D253">
        <v>161.08247422680421</v>
      </c>
      <c r="E253">
        <v>23.958333333333321</v>
      </c>
      <c r="F253">
        <v>23.958333333333321</v>
      </c>
      <c r="G253">
        <v>26.041666666666671</v>
      </c>
      <c r="H253">
        <v>26.041666666666671</v>
      </c>
      <c r="J253">
        <v>144.23076923076951</v>
      </c>
      <c r="K253">
        <v>138.22115384615429</v>
      </c>
      <c r="L253">
        <v>156.25</v>
      </c>
      <c r="M253">
        <v>144.23076923076951</v>
      </c>
      <c r="N253">
        <v>25.00000000000005</v>
      </c>
      <c r="O253">
        <v>23.95833333333341</v>
      </c>
      <c r="P253">
        <v>27.083333333333339</v>
      </c>
      <c r="Q253">
        <v>25.00000000000005</v>
      </c>
      <c r="S253">
        <v>102.2992985190958</v>
      </c>
      <c r="T253">
        <v>107.17069368667219</v>
      </c>
      <c r="U253">
        <v>126.6562743569757</v>
      </c>
      <c r="V253">
        <v>131.52766952455201</v>
      </c>
      <c r="W253">
        <v>21.874999999999989</v>
      </c>
      <c r="X253">
        <v>22.916666666666728</v>
      </c>
      <c r="Y253">
        <v>27.0833333333333</v>
      </c>
      <c r="Z253">
        <v>28.12500000000005</v>
      </c>
      <c r="AB253">
        <v>195.81800844571629</v>
      </c>
      <c r="AC253">
        <v>178.79035553739229</v>
      </c>
      <c r="AD253">
        <v>221.35948780820041</v>
      </c>
      <c r="AE253">
        <v>221.35948780820129</v>
      </c>
      <c r="AF253">
        <v>23.958333333333378</v>
      </c>
      <c r="AG253">
        <v>21.87499999999995</v>
      </c>
      <c r="AH253">
        <v>27.083333333333311</v>
      </c>
      <c r="AI253">
        <v>27.083333333333421</v>
      </c>
      <c r="AK253">
        <v>171.2962962962965</v>
      </c>
      <c r="AL253">
        <v>138.88888888888869</v>
      </c>
      <c r="AM253">
        <v>129.62962962962959</v>
      </c>
      <c r="AO253">
        <v>38.541666666666721</v>
      </c>
      <c r="AP253">
        <v>31.249999999999961</v>
      </c>
      <c r="AQ253">
        <v>29.16666666666665</v>
      </c>
    </row>
    <row r="254" spans="1:44" x14ac:dyDescent="0.2">
      <c r="A254">
        <v>141.75257731958749</v>
      </c>
      <c r="B254">
        <v>141.75257731958749</v>
      </c>
      <c r="C254">
        <v>180.41237113402079</v>
      </c>
      <c r="D254">
        <v>154.63917525773189</v>
      </c>
      <c r="E254">
        <v>22.91666666666665</v>
      </c>
      <c r="F254">
        <v>22.91666666666665</v>
      </c>
      <c r="G254">
        <v>29.166666666666689</v>
      </c>
      <c r="H254">
        <v>24.999999999999989</v>
      </c>
      <c r="J254">
        <v>150.24038461538481</v>
      </c>
      <c r="K254">
        <v>138.22115384615429</v>
      </c>
      <c r="L254">
        <v>138.22115384615429</v>
      </c>
      <c r="M254">
        <v>168.26923076923049</v>
      </c>
      <c r="N254">
        <v>26.041666666666689</v>
      </c>
      <c r="O254">
        <v>23.95833333333341</v>
      </c>
      <c r="P254">
        <v>23.95833333333341</v>
      </c>
      <c r="Q254">
        <v>29.166666666666622</v>
      </c>
      <c r="S254">
        <v>112.0420888542476</v>
      </c>
      <c r="T254">
        <v>116.9134840218239</v>
      </c>
      <c r="U254">
        <v>112.0420888542476</v>
      </c>
      <c r="V254">
        <v>116.9134840218239</v>
      </c>
      <c r="W254">
        <v>23.958333333333279</v>
      </c>
      <c r="X254">
        <v>25.000000000000021</v>
      </c>
      <c r="Y254">
        <v>23.958333333333279</v>
      </c>
      <c r="Z254">
        <v>25.000000000000021</v>
      </c>
      <c r="AB254">
        <v>178.79035553739229</v>
      </c>
      <c r="AC254">
        <v>204.3318348998782</v>
      </c>
      <c r="AD254">
        <v>195.81800844571629</v>
      </c>
      <c r="AE254">
        <v>212.84566135403841</v>
      </c>
      <c r="AF254">
        <v>21.87499999999995</v>
      </c>
      <c r="AG254">
        <v>25.000000000000099</v>
      </c>
      <c r="AH254">
        <v>23.958333333333378</v>
      </c>
      <c r="AI254">
        <v>26.0416666666666</v>
      </c>
      <c r="AK254">
        <v>101.8518518518522</v>
      </c>
      <c r="AL254">
        <v>101.8518518518522</v>
      </c>
      <c r="AM254">
        <v>111.1111111111113</v>
      </c>
      <c r="AN254">
        <v>129.62962962962959</v>
      </c>
      <c r="AO254">
        <v>22.916666666666739</v>
      </c>
      <c r="AP254">
        <v>22.916666666666739</v>
      </c>
      <c r="AQ254">
        <v>25.00000000000005</v>
      </c>
      <c r="AR254">
        <v>29.16666666666665</v>
      </c>
    </row>
    <row r="255" spans="1:44" x14ac:dyDescent="0.2">
      <c r="A255">
        <v>109.5360824742265</v>
      </c>
      <c r="B255">
        <v>186.85567010309299</v>
      </c>
      <c r="C255">
        <v>167.52577319587641</v>
      </c>
      <c r="D255">
        <v>154.63917525773189</v>
      </c>
      <c r="E255">
        <v>17.70833333333329</v>
      </c>
      <c r="F255">
        <v>30.208333333333361</v>
      </c>
      <c r="G255">
        <v>27.083333333333339</v>
      </c>
      <c r="H255">
        <v>24.999999999999989</v>
      </c>
      <c r="J255">
        <v>132.21153846153811</v>
      </c>
      <c r="K255">
        <v>126.2019230769229</v>
      </c>
      <c r="L255">
        <v>156.25</v>
      </c>
      <c r="M255">
        <v>150.24038461538481</v>
      </c>
      <c r="N255">
        <v>22.916666666666611</v>
      </c>
      <c r="O255">
        <v>21.874999999999961</v>
      </c>
      <c r="P255">
        <v>27.083333333333339</v>
      </c>
      <c r="Q255">
        <v>26.041666666666689</v>
      </c>
      <c r="S255">
        <v>112.0420888542476</v>
      </c>
      <c r="T255">
        <v>116.9134840218239</v>
      </c>
      <c r="U255">
        <v>116.9134840218239</v>
      </c>
      <c r="V255">
        <v>116.9134840218239</v>
      </c>
      <c r="W255">
        <v>23.958333333333279</v>
      </c>
      <c r="X255">
        <v>25.000000000000021</v>
      </c>
      <c r="Y255">
        <v>25.000000000000021</v>
      </c>
      <c r="Z255">
        <v>25.000000000000021</v>
      </c>
      <c r="AB255">
        <v>229.8733142623623</v>
      </c>
      <c r="AC255">
        <v>161.76270262907019</v>
      </c>
      <c r="AD255">
        <v>212.84566135403841</v>
      </c>
      <c r="AE255">
        <v>221.35948780820041</v>
      </c>
      <c r="AF255">
        <v>28.125000000000028</v>
      </c>
      <c r="AG255">
        <v>19.791666666666739</v>
      </c>
      <c r="AH255">
        <v>26.0416666666666</v>
      </c>
      <c r="AI255">
        <v>27.083333333333311</v>
      </c>
      <c r="AK255">
        <v>152.7777777777774</v>
      </c>
      <c r="AL255">
        <v>166.666666666667</v>
      </c>
      <c r="AM255">
        <v>125</v>
      </c>
      <c r="AO255">
        <v>34.374999999999908</v>
      </c>
      <c r="AP255">
        <v>37.500000000000071</v>
      </c>
      <c r="AQ255">
        <v>28.125000000000011</v>
      </c>
    </row>
    <row r="256" spans="1:44" x14ac:dyDescent="0.2">
      <c r="A256">
        <v>148.19587628865969</v>
      </c>
      <c r="B256">
        <v>148.19587628865969</v>
      </c>
      <c r="C256">
        <v>173.96907216494861</v>
      </c>
      <c r="D256">
        <v>148.19587628865969</v>
      </c>
      <c r="E256">
        <v>23.958333333333321</v>
      </c>
      <c r="F256">
        <v>23.958333333333321</v>
      </c>
      <c r="G256">
        <v>28.125000000000011</v>
      </c>
      <c r="H256">
        <v>23.958333333333321</v>
      </c>
      <c r="J256">
        <v>132.21153846153811</v>
      </c>
      <c r="K256">
        <v>150.24038461538481</v>
      </c>
      <c r="L256">
        <v>150.24038461538481</v>
      </c>
      <c r="M256">
        <v>144.23076923076951</v>
      </c>
      <c r="N256">
        <v>22.916666666666611</v>
      </c>
      <c r="O256">
        <v>26.041666666666689</v>
      </c>
      <c r="P256">
        <v>26.041666666666689</v>
      </c>
      <c r="Q256">
        <v>25.00000000000005</v>
      </c>
      <c r="S256">
        <v>92.556508183944061</v>
      </c>
      <c r="T256">
        <v>112.0420888542476</v>
      </c>
      <c r="U256">
        <v>121.7848791894003</v>
      </c>
      <c r="V256">
        <v>151.0132501948556</v>
      </c>
      <c r="W256">
        <v>19.79166666666671</v>
      </c>
      <c r="X256">
        <v>23.958333333333279</v>
      </c>
      <c r="Y256">
        <v>26.04166666666676</v>
      </c>
      <c r="Z256">
        <v>32.291666666666607</v>
      </c>
      <c r="AB256">
        <v>195.81800844571629</v>
      </c>
      <c r="AC256">
        <v>187.30418199155429</v>
      </c>
      <c r="AD256">
        <v>212.84566135403841</v>
      </c>
      <c r="AE256">
        <v>221.35948780820041</v>
      </c>
      <c r="AF256">
        <v>23.958333333333378</v>
      </c>
      <c r="AG256">
        <v>22.916666666666671</v>
      </c>
      <c r="AH256">
        <v>26.0416666666666</v>
      </c>
      <c r="AI256">
        <v>27.083333333333311</v>
      </c>
      <c r="AK256">
        <v>143.51851851851819</v>
      </c>
      <c r="AL256">
        <v>143.51851851851819</v>
      </c>
      <c r="AM256">
        <v>157.40740740740691</v>
      </c>
      <c r="AO256">
        <v>32.291666666666607</v>
      </c>
      <c r="AP256">
        <v>32.291666666666607</v>
      </c>
      <c r="AQ256">
        <v>35.416666666666558</v>
      </c>
    </row>
    <row r="257" spans="1:44" x14ac:dyDescent="0.2">
      <c r="A257">
        <v>154.63917525773189</v>
      </c>
      <c r="B257">
        <v>148.19587628866071</v>
      </c>
      <c r="C257">
        <v>167.52577319587539</v>
      </c>
      <c r="D257">
        <v>148.19587628866071</v>
      </c>
      <c r="E257">
        <v>24.999999999999989</v>
      </c>
      <c r="F257">
        <v>23.958333333333471</v>
      </c>
      <c r="G257">
        <v>27.08333333333319</v>
      </c>
      <c r="H257">
        <v>23.958333333333471</v>
      </c>
      <c r="J257">
        <v>132.21153846153811</v>
      </c>
      <c r="K257">
        <v>138.22115384615429</v>
      </c>
      <c r="L257">
        <v>150.24038461538481</v>
      </c>
      <c r="M257">
        <v>168.26923076923049</v>
      </c>
      <c r="N257">
        <v>22.916666666666611</v>
      </c>
      <c r="O257">
        <v>23.95833333333341</v>
      </c>
      <c r="P257">
        <v>26.041666666666689</v>
      </c>
      <c r="Q257">
        <v>29.166666666666622</v>
      </c>
      <c r="S257">
        <v>107.17069368667219</v>
      </c>
      <c r="T257">
        <v>107.17069368667219</v>
      </c>
      <c r="U257">
        <v>121.7848791893994</v>
      </c>
      <c r="V257">
        <v>121.7848791893994</v>
      </c>
      <c r="W257">
        <v>22.916666666666728</v>
      </c>
      <c r="X257">
        <v>22.916666666666728</v>
      </c>
      <c r="Y257">
        <v>26.041666666666561</v>
      </c>
      <c r="Z257">
        <v>26.041666666666561</v>
      </c>
      <c r="AB257">
        <v>221.35948780820041</v>
      </c>
      <c r="AC257">
        <v>178.79035553739229</v>
      </c>
      <c r="AD257">
        <v>204.3318348998782</v>
      </c>
      <c r="AE257">
        <v>195.81800844571629</v>
      </c>
      <c r="AF257">
        <v>27.083333333333311</v>
      </c>
      <c r="AG257">
        <v>21.87499999999995</v>
      </c>
      <c r="AH257">
        <v>25.000000000000099</v>
      </c>
      <c r="AI257">
        <v>23.958333333333378</v>
      </c>
      <c r="AK257">
        <v>175.92592592592609</v>
      </c>
      <c r="AL257">
        <v>134.2592592592591</v>
      </c>
      <c r="AM257">
        <v>134.2592592592591</v>
      </c>
      <c r="AO257">
        <v>39.583333333333378</v>
      </c>
      <c r="AP257">
        <v>30.2083333333333</v>
      </c>
      <c r="AQ257">
        <v>30.2083333333333</v>
      </c>
    </row>
    <row r="258" spans="1:44" x14ac:dyDescent="0.2">
      <c r="A258">
        <v>148.19587628866071</v>
      </c>
      <c r="B258">
        <v>135.30927835051631</v>
      </c>
      <c r="C258">
        <v>186.85567010309211</v>
      </c>
      <c r="D258">
        <v>148.19587628866071</v>
      </c>
      <c r="E258">
        <v>23.958333333333471</v>
      </c>
      <c r="F258">
        <v>21.875000000000121</v>
      </c>
      <c r="G258">
        <v>30.208333333333211</v>
      </c>
      <c r="H258">
        <v>23.958333333333471</v>
      </c>
      <c r="J258">
        <v>132.21153846153899</v>
      </c>
      <c r="K258">
        <v>138.22115384615429</v>
      </c>
      <c r="L258">
        <v>150.24038461538481</v>
      </c>
      <c r="M258">
        <v>156.25</v>
      </c>
      <c r="N258">
        <v>22.91666666666676</v>
      </c>
      <c r="O258">
        <v>23.95833333333341</v>
      </c>
      <c r="P258">
        <v>26.041666666666689</v>
      </c>
      <c r="Q258">
        <v>27.083333333333339</v>
      </c>
      <c r="S258">
        <v>102.2992985190958</v>
      </c>
      <c r="T258">
        <v>107.17069368667219</v>
      </c>
      <c r="U258">
        <v>126.6562743569757</v>
      </c>
      <c r="V258">
        <v>126.6562743569757</v>
      </c>
      <c r="W258">
        <v>21.874999999999989</v>
      </c>
      <c r="X258">
        <v>22.916666666666728</v>
      </c>
      <c r="Y258">
        <v>27.0833333333333</v>
      </c>
      <c r="Z258">
        <v>27.0833333333333</v>
      </c>
      <c r="AB258">
        <v>204.3318348998782</v>
      </c>
      <c r="AC258">
        <v>195.81800844571629</v>
      </c>
      <c r="AD258">
        <v>212.84566135403841</v>
      </c>
      <c r="AE258">
        <v>204.3318348998782</v>
      </c>
      <c r="AF258">
        <v>25.000000000000099</v>
      </c>
      <c r="AG258">
        <v>23.958333333333378</v>
      </c>
      <c r="AH258">
        <v>26.0416666666666</v>
      </c>
      <c r="AI258">
        <v>25.000000000000099</v>
      </c>
      <c r="AK258">
        <v>101.8518518518522</v>
      </c>
      <c r="AL258">
        <v>101.8518518518522</v>
      </c>
      <c r="AM258">
        <v>97.222222222222626</v>
      </c>
      <c r="AN258">
        <v>143.51851851851819</v>
      </c>
      <c r="AO258">
        <v>22.916666666666739</v>
      </c>
      <c r="AP258">
        <v>22.916666666666739</v>
      </c>
      <c r="AQ258">
        <v>21.875000000000099</v>
      </c>
      <c r="AR258">
        <v>32.291666666666607</v>
      </c>
    </row>
    <row r="259" spans="1:44" x14ac:dyDescent="0.2">
      <c r="A259">
        <v>109.5360824742274</v>
      </c>
      <c r="B259">
        <v>186.85567010309211</v>
      </c>
      <c r="C259">
        <v>161.08247422680321</v>
      </c>
      <c r="D259">
        <v>154.63917525773101</v>
      </c>
      <c r="E259">
        <v>17.708333333333439</v>
      </c>
      <c r="F259">
        <v>30.208333333333211</v>
      </c>
      <c r="G259">
        <v>26.041666666666519</v>
      </c>
      <c r="H259">
        <v>24.999999999999851</v>
      </c>
      <c r="J259">
        <v>126.2019230769238</v>
      </c>
      <c r="K259">
        <v>126.2019230769238</v>
      </c>
      <c r="L259">
        <v>168.26923076923049</v>
      </c>
      <c r="M259">
        <v>144.2307692307659</v>
      </c>
      <c r="N259">
        <v>21.875000000000121</v>
      </c>
      <c r="O259">
        <v>21.875000000000121</v>
      </c>
      <c r="P259">
        <v>29.166666666666622</v>
      </c>
      <c r="Q259">
        <v>24.999999999999421</v>
      </c>
      <c r="S259">
        <v>116.9134840218239</v>
      </c>
      <c r="T259">
        <v>116.9134840218239</v>
      </c>
      <c r="U259">
        <v>112.0420888542476</v>
      </c>
      <c r="V259">
        <v>126.6562743569766</v>
      </c>
      <c r="W259">
        <v>25.000000000000021</v>
      </c>
      <c r="X259">
        <v>25.000000000000021</v>
      </c>
      <c r="Y259">
        <v>23.958333333333279</v>
      </c>
      <c r="Z259">
        <v>27.083333333333499</v>
      </c>
      <c r="AB259">
        <v>195.81800844571629</v>
      </c>
      <c r="AC259">
        <v>178.79035553739229</v>
      </c>
      <c r="AD259">
        <v>212.84566135403841</v>
      </c>
      <c r="AE259">
        <v>212.84566135403659</v>
      </c>
      <c r="AF259">
        <v>23.958333333333378</v>
      </c>
      <c r="AG259">
        <v>21.87499999999995</v>
      </c>
      <c r="AH259">
        <v>26.0416666666666</v>
      </c>
      <c r="AI259">
        <v>26.041666666666369</v>
      </c>
      <c r="AK259">
        <v>152.7777777777774</v>
      </c>
      <c r="AL259">
        <v>166.666666666667</v>
      </c>
      <c r="AM259">
        <v>124.9999999999991</v>
      </c>
      <c r="AO259">
        <v>34.374999999999908</v>
      </c>
      <c r="AP259">
        <v>37.500000000000071</v>
      </c>
      <c r="AQ259">
        <v>28.124999999999801</v>
      </c>
    </row>
    <row r="260" spans="1:44" ht="31" x14ac:dyDescent="0.35">
      <c r="A260" s="3"/>
    </row>
    <row r="261" spans="1:44" ht="31" x14ac:dyDescent="0.35">
      <c r="A261" s="12" t="s">
        <v>168</v>
      </c>
      <c r="B261" s="13"/>
      <c r="C261" s="13"/>
      <c r="D261" s="13"/>
      <c r="E261" s="13"/>
      <c r="F261" s="13"/>
      <c r="G261" s="13"/>
      <c r="H261" s="13"/>
      <c r="J261" s="9" t="s">
        <v>73</v>
      </c>
      <c r="K261" s="10"/>
      <c r="L261" s="10"/>
      <c r="M261" s="10"/>
      <c r="N261" s="10"/>
      <c r="O261" s="10"/>
      <c r="P261" s="10"/>
      <c r="Q261" s="10"/>
      <c r="S261" s="1" t="s">
        <v>104</v>
      </c>
      <c r="T261" s="2"/>
      <c r="U261" s="2"/>
      <c r="V261" s="2"/>
      <c r="W261" s="2"/>
      <c r="X261" s="2"/>
      <c r="Y261" s="2"/>
      <c r="Z261" s="2"/>
      <c r="AB261" s="14" t="s">
        <v>133</v>
      </c>
      <c r="AC261" s="15"/>
      <c r="AD261" s="15"/>
      <c r="AE261" s="15"/>
      <c r="AF261" s="15"/>
      <c r="AG261" s="15"/>
      <c r="AH261" s="15"/>
      <c r="AI261" s="15"/>
      <c r="AK261" s="16" t="s">
        <v>153</v>
      </c>
      <c r="AL261" s="17"/>
      <c r="AM261" s="17"/>
      <c r="AN261" s="17"/>
      <c r="AO261" s="17"/>
      <c r="AP261" s="17"/>
      <c r="AQ261" s="18"/>
      <c r="AR261" s="17"/>
    </row>
    <row r="262" spans="1:44" ht="31" x14ac:dyDescent="0.35">
      <c r="A262" s="3" t="s">
        <v>2</v>
      </c>
      <c r="E262" s="7"/>
      <c r="F262" s="6" t="s">
        <v>167</v>
      </c>
      <c r="G262" s="6"/>
      <c r="H262" s="6"/>
      <c r="J262" s="3" t="s">
        <v>2</v>
      </c>
      <c r="N262" s="23" t="s">
        <v>18</v>
      </c>
      <c r="O262" s="6" t="s">
        <v>74</v>
      </c>
      <c r="P262" s="6"/>
      <c r="Q262" s="6"/>
      <c r="S262" s="3" t="s">
        <v>2</v>
      </c>
      <c r="W262" s="23" t="s">
        <v>18</v>
      </c>
      <c r="X262" s="24" t="s">
        <v>105</v>
      </c>
      <c r="AB262" s="3" t="s">
        <v>2</v>
      </c>
      <c r="AF262" s="23" t="s">
        <v>18</v>
      </c>
      <c r="AG262" s="24" t="s">
        <v>134</v>
      </c>
      <c r="AH262" s="19"/>
      <c r="AI262" s="19"/>
      <c r="AK262" s="3" t="s">
        <v>2</v>
      </c>
      <c r="AO262" s="6" t="s">
        <v>3</v>
      </c>
      <c r="AP262" s="6" t="s">
        <v>137</v>
      </c>
      <c r="AQ262" s="6"/>
      <c r="AR262" s="6"/>
    </row>
    <row r="263" spans="1:44" x14ac:dyDescent="0.2">
      <c r="A263" s="7">
        <v>1</v>
      </c>
      <c r="B263" s="6">
        <v>2</v>
      </c>
      <c r="C263" s="6">
        <v>3</v>
      </c>
      <c r="D263" s="6">
        <v>4</v>
      </c>
      <c r="E263" s="7">
        <v>1</v>
      </c>
      <c r="F263" s="6">
        <v>2</v>
      </c>
      <c r="G263" s="6">
        <v>3</v>
      </c>
      <c r="H263" s="6">
        <v>4</v>
      </c>
      <c r="J263" s="7">
        <v>1</v>
      </c>
      <c r="K263" s="6">
        <v>2</v>
      </c>
      <c r="L263" s="6">
        <v>3</v>
      </c>
      <c r="M263" s="6">
        <v>4</v>
      </c>
      <c r="N263" s="7">
        <v>1</v>
      </c>
      <c r="O263" s="6">
        <v>2</v>
      </c>
      <c r="P263" s="6">
        <v>3</v>
      </c>
      <c r="Q263" s="6">
        <v>4</v>
      </c>
      <c r="S263" s="7">
        <v>1</v>
      </c>
      <c r="T263" s="6">
        <v>2</v>
      </c>
      <c r="U263" s="6">
        <v>3</v>
      </c>
      <c r="V263" s="6">
        <v>4</v>
      </c>
      <c r="W263" s="7">
        <v>1</v>
      </c>
      <c r="X263" s="6">
        <v>2</v>
      </c>
      <c r="Y263" s="6">
        <v>3</v>
      </c>
      <c r="Z263" s="6">
        <v>4</v>
      </c>
      <c r="AB263" s="7">
        <v>1</v>
      </c>
      <c r="AC263" s="6">
        <v>2</v>
      </c>
      <c r="AD263" s="6">
        <v>3</v>
      </c>
      <c r="AE263" s="6">
        <v>4</v>
      </c>
      <c r="AF263" s="7">
        <v>1</v>
      </c>
      <c r="AG263" s="6">
        <v>2</v>
      </c>
      <c r="AH263" s="6">
        <v>3</v>
      </c>
      <c r="AI263" s="6">
        <v>4</v>
      </c>
      <c r="AK263" s="7">
        <v>1</v>
      </c>
      <c r="AL263" s="6">
        <v>2</v>
      </c>
      <c r="AM263" s="6">
        <v>3</v>
      </c>
      <c r="AN263" s="6">
        <v>4</v>
      </c>
      <c r="AO263" s="7">
        <v>1</v>
      </c>
      <c r="AP263" s="6">
        <v>2</v>
      </c>
      <c r="AQ263" s="6">
        <v>3</v>
      </c>
      <c r="AR263" s="6">
        <v>4</v>
      </c>
    </row>
    <row r="264" spans="1:44" x14ac:dyDescent="0.2">
      <c r="A264">
        <v>131.2523864070256</v>
      </c>
      <c r="B264">
        <v>125.28636884306989</v>
      </c>
      <c r="C264">
        <v>161.08247422680421</v>
      </c>
      <c r="D264">
        <v>167.04849179075981</v>
      </c>
      <c r="E264">
        <v>22.916666666666671</v>
      </c>
      <c r="F264">
        <v>21.875</v>
      </c>
      <c r="G264">
        <v>28.125</v>
      </c>
      <c r="H264">
        <v>29.166666666666671</v>
      </c>
      <c r="J264">
        <v>144.9198988195615</v>
      </c>
      <c r="K264">
        <v>131.74536256323771</v>
      </c>
      <c r="L264">
        <v>184.44350758853281</v>
      </c>
      <c r="M264">
        <v>158.0944350758854</v>
      </c>
      <c r="N264">
        <v>22.916666666666661</v>
      </c>
      <c r="O264">
        <v>20.833333333333329</v>
      </c>
      <c r="P264">
        <v>29.166666666666661</v>
      </c>
      <c r="Q264">
        <v>25</v>
      </c>
      <c r="S264">
        <v>133.92857142857139</v>
      </c>
      <c r="T264">
        <v>133.92857142857139</v>
      </c>
      <c r="U264">
        <v>145.08928571428569</v>
      </c>
      <c r="V264">
        <v>139.50892857142861</v>
      </c>
      <c r="W264">
        <v>25</v>
      </c>
      <c r="X264">
        <v>25</v>
      </c>
      <c r="Y264">
        <v>27.083333333333339</v>
      </c>
      <c r="Z264">
        <v>26.041666666666661</v>
      </c>
      <c r="AB264">
        <v>157.35146022155089</v>
      </c>
      <c r="AC264">
        <v>132.17522658610281</v>
      </c>
      <c r="AD264">
        <v>132.1752265861027</v>
      </c>
      <c r="AE264">
        <v>188.82175226586099</v>
      </c>
      <c r="AF264">
        <v>26.041666666666671</v>
      </c>
      <c r="AG264">
        <v>21.875</v>
      </c>
      <c r="AH264">
        <v>21.875</v>
      </c>
      <c r="AI264">
        <v>31.249999999999989</v>
      </c>
      <c r="AK264">
        <v>133.33333333333329</v>
      </c>
      <c r="AL264">
        <v>129.16666666666671</v>
      </c>
      <c r="AM264">
        <v>162.5</v>
      </c>
      <c r="AO264">
        <v>33.333333333333343</v>
      </c>
      <c r="AP264">
        <v>32.291666666666657</v>
      </c>
      <c r="AQ264">
        <v>40.625</v>
      </c>
    </row>
    <row r="265" spans="1:44" x14ac:dyDescent="0.2">
      <c r="A265">
        <v>119.32035127911421</v>
      </c>
      <c r="B265">
        <v>137.21840397098131</v>
      </c>
      <c r="C265">
        <v>143.184421534937</v>
      </c>
      <c r="D265">
        <v>173.01450935471561</v>
      </c>
      <c r="E265">
        <v>20.833333333333339</v>
      </c>
      <c r="F265">
        <v>23.958333333333329</v>
      </c>
      <c r="G265">
        <v>25</v>
      </c>
      <c r="H265">
        <v>30.20833333333335</v>
      </c>
      <c r="J265">
        <v>138.33263069139969</v>
      </c>
      <c r="K265">
        <v>158.0944350758854</v>
      </c>
      <c r="L265">
        <v>158.09443507588529</v>
      </c>
      <c r="M265">
        <v>184.44350758853281</v>
      </c>
      <c r="N265">
        <v>21.875</v>
      </c>
      <c r="O265">
        <v>25</v>
      </c>
      <c r="P265">
        <v>24.999999999999989</v>
      </c>
      <c r="Q265">
        <v>29.166666666666661</v>
      </c>
      <c r="S265">
        <v>100.4464285714286</v>
      </c>
      <c r="T265">
        <v>150.6696428571428</v>
      </c>
      <c r="U265">
        <v>117.1875</v>
      </c>
      <c r="V265">
        <v>156.25</v>
      </c>
      <c r="W265">
        <v>18.75</v>
      </c>
      <c r="X265">
        <v>28.124999999999989</v>
      </c>
      <c r="Y265">
        <v>21.875</v>
      </c>
      <c r="Z265">
        <v>29.166666666666671</v>
      </c>
      <c r="AB265">
        <v>157.35146022155081</v>
      </c>
      <c r="AC265">
        <v>132.1752265861027</v>
      </c>
      <c r="AD265">
        <v>144.76334340382689</v>
      </c>
      <c r="AE265">
        <v>182.52769385699889</v>
      </c>
      <c r="AF265">
        <v>26.041666666666661</v>
      </c>
      <c r="AG265">
        <v>21.874999999999989</v>
      </c>
      <c r="AH265">
        <v>23.95833333333335</v>
      </c>
      <c r="AI265">
        <v>30.208333333333311</v>
      </c>
      <c r="AK265">
        <v>137.5</v>
      </c>
      <c r="AL265">
        <v>125</v>
      </c>
      <c r="AM265">
        <v>129.16666666666671</v>
      </c>
      <c r="AO265">
        <v>34.375</v>
      </c>
      <c r="AP265">
        <v>31.25</v>
      </c>
      <c r="AQ265">
        <v>32.291666666666693</v>
      </c>
    </row>
    <row r="266" spans="1:44" x14ac:dyDescent="0.2">
      <c r="A266">
        <v>125.28636884306979</v>
      </c>
      <c r="B266">
        <v>125.28636884306979</v>
      </c>
      <c r="C266">
        <v>155.11645666284829</v>
      </c>
      <c r="D266">
        <v>173.0145093547155</v>
      </c>
      <c r="E266">
        <v>21.874999999999989</v>
      </c>
      <c r="F266">
        <v>21.874999999999989</v>
      </c>
      <c r="G266">
        <v>27.083333333333321</v>
      </c>
      <c r="H266">
        <v>30.208333333333329</v>
      </c>
      <c r="J266">
        <v>131.74536256323771</v>
      </c>
      <c r="K266">
        <v>138.3326306913996</v>
      </c>
      <c r="L266">
        <v>177.85623946037089</v>
      </c>
      <c r="M266">
        <v>177.85623946037089</v>
      </c>
      <c r="N266">
        <v>20.833333333333321</v>
      </c>
      <c r="O266">
        <v>21.874999999999979</v>
      </c>
      <c r="P266">
        <v>28.124999999999989</v>
      </c>
      <c r="Q266">
        <v>28.124999999999989</v>
      </c>
      <c r="S266">
        <v>117.1875</v>
      </c>
      <c r="T266">
        <v>128.34821428571419</v>
      </c>
      <c r="U266">
        <v>156.25</v>
      </c>
      <c r="V266">
        <v>133.9285714285713</v>
      </c>
      <c r="W266">
        <v>21.875</v>
      </c>
      <c r="X266">
        <v>23.958333333333329</v>
      </c>
      <c r="Y266">
        <v>29.166666666666671</v>
      </c>
      <c r="Z266">
        <v>24.999999999999989</v>
      </c>
      <c r="AB266">
        <v>151.05740181268879</v>
      </c>
      <c r="AC266">
        <v>106.9989929506546</v>
      </c>
      <c r="AD266">
        <v>169.93957703927501</v>
      </c>
      <c r="AE266">
        <v>188.82175226586111</v>
      </c>
      <c r="AF266">
        <v>25</v>
      </c>
      <c r="AG266">
        <v>17.708333333333339</v>
      </c>
      <c r="AH266">
        <v>28.125000000000021</v>
      </c>
      <c r="AI266">
        <v>31.250000000000011</v>
      </c>
      <c r="AK266">
        <v>95.833333333333371</v>
      </c>
      <c r="AL266">
        <v>95.833333333333371</v>
      </c>
      <c r="AM266">
        <v>104.1666666666667</v>
      </c>
      <c r="AN266">
        <v>108.3333333333333</v>
      </c>
      <c r="AO266">
        <v>23.958333333333339</v>
      </c>
      <c r="AP266">
        <v>23.958333333333339</v>
      </c>
      <c r="AQ266">
        <v>26.041666666666689</v>
      </c>
      <c r="AR266">
        <v>27.083333333333311</v>
      </c>
    </row>
    <row r="267" spans="1:44" x14ac:dyDescent="0.2">
      <c r="A267">
        <v>125.28636884306979</v>
      </c>
      <c r="B267">
        <v>119.32035127911421</v>
      </c>
      <c r="C267">
        <v>161.0824742268039</v>
      </c>
      <c r="D267">
        <v>167.0484917907597</v>
      </c>
      <c r="E267">
        <v>21.874999999999989</v>
      </c>
      <c r="F267">
        <v>20.833333333333339</v>
      </c>
      <c r="G267">
        <v>28.124999999999961</v>
      </c>
      <c r="H267">
        <v>29.16666666666665</v>
      </c>
      <c r="J267">
        <v>144.9198988195615</v>
      </c>
      <c r="K267">
        <v>144.9198988195615</v>
      </c>
      <c r="L267">
        <v>171.2689713322093</v>
      </c>
      <c r="M267">
        <v>177.85623946037089</v>
      </c>
      <c r="N267">
        <v>22.91666666666665</v>
      </c>
      <c r="O267">
        <v>22.91666666666665</v>
      </c>
      <c r="P267">
        <v>27.08333333333335</v>
      </c>
      <c r="Q267">
        <v>28.124999999999989</v>
      </c>
      <c r="S267">
        <v>106.02678571428579</v>
      </c>
      <c r="T267">
        <v>145.08928571428581</v>
      </c>
      <c r="U267">
        <v>156.25</v>
      </c>
      <c r="V267">
        <v>122.7678571428571</v>
      </c>
      <c r="W267">
        <v>19.791666666666679</v>
      </c>
      <c r="X267">
        <v>27.08333333333335</v>
      </c>
      <c r="Y267">
        <v>29.166666666666671</v>
      </c>
      <c r="Z267">
        <v>22.916666666666661</v>
      </c>
      <c r="AB267">
        <v>151.05740181268879</v>
      </c>
      <c r="AC267">
        <v>119.5871097683787</v>
      </c>
      <c r="AD267">
        <v>151.05740181268899</v>
      </c>
      <c r="AE267">
        <v>176.23363544813671</v>
      </c>
      <c r="AF267">
        <v>25</v>
      </c>
      <c r="AG267">
        <v>19.791666666666671</v>
      </c>
      <c r="AH267">
        <v>25.000000000000028</v>
      </c>
      <c r="AI267">
        <v>29.166666666666629</v>
      </c>
      <c r="AK267">
        <v>108.3333333333333</v>
      </c>
      <c r="AL267">
        <v>104.1666666666667</v>
      </c>
      <c r="AM267">
        <v>83.333333333333258</v>
      </c>
      <c r="AN267">
        <v>83.333333333333258</v>
      </c>
      <c r="AO267">
        <v>27.083333333333311</v>
      </c>
      <c r="AP267">
        <v>26.041666666666689</v>
      </c>
      <c r="AQ267">
        <v>20.833333333333311</v>
      </c>
      <c r="AR267">
        <v>20.833333333333311</v>
      </c>
    </row>
    <row r="268" spans="1:44" x14ac:dyDescent="0.2">
      <c r="A268">
        <v>137.2184039709814</v>
      </c>
      <c r="B268">
        <v>113.3543337151586</v>
      </c>
      <c r="C268">
        <v>155.11645666284861</v>
      </c>
      <c r="D268">
        <v>173.01450935471581</v>
      </c>
      <c r="E268">
        <v>23.95833333333335</v>
      </c>
      <c r="F268">
        <v>19.7916666666667</v>
      </c>
      <c r="G268">
        <v>27.083333333333361</v>
      </c>
      <c r="H268">
        <v>30.208333333333371</v>
      </c>
      <c r="J268">
        <v>151.50716694772339</v>
      </c>
      <c r="K268">
        <v>131.7453625632379</v>
      </c>
      <c r="L268">
        <v>184.44350758853309</v>
      </c>
      <c r="M268">
        <v>164.68170320404721</v>
      </c>
      <c r="N268">
        <v>23.958333333333321</v>
      </c>
      <c r="O268">
        <v>20.83333333333335</v>
      </c>
      <c r="P268">
        <v>29.166666666666689</v>
      </c>
      <c r="Q268">
        <v>26.04166666666665</v>
      </c>
      <c r="S268">
        <v>139.50892857142841</v>
      </c>
      <c r="T268">
        <v>122.7678571428573</v>
      </c>
      <c r="U268">
        <v>139.50892857142841</v>
      </c>
      <c r="V268">
        <v>139.50892857142841</v>
      </c>
      <c r="W268">
        <v>26.04166666666665</v>
      </c>
      <c r="X268">
        <v>22.9166666666667</v>
      </c>
      <c r="Y268">
        <v>26.04166666666665</v>
      </c>
      <c r="Z268">
        <v>26.04166666666665</v>
      </c>
      <c r="AB268">
        <v>144.76334340382661</v>
      </c>
      <c r="AC268">
        <v>132.17522658610281</v>
      </c>
      <c r="AD268">
        <v>138.46928499496471</v>
      </c>
      <c r="AE268">
        <v>176.23363544813719</v>
      </c>
      <c r="AF268">
        <v>23.958333333333311</v>
      </c>
      <c r="AG268">
        <v>21.875000000000011</v>
      </c>
      <c r="AH268">
        <v>22.916666666666661</v>
      </c>
      <c r="AI268">
        <v>29.16666666666671</v>
      </c>
      <c r="AK268">
        <v>133.33333333333329</v>
      </c>
      <c r="AL268">
        <v>129.16666666666671</v>
      </c>
      <c r="AM268">
        <v>162.5</v>
      </c>
      <c r="AO268">
        <v>33.333333333333307</v>
      </c>
      <c r="AP268">
        <v>32.291666666666693</v>
      </c>
      <c r="AQ268">
        <v>40.625</v>
      </c>
    </row>
    <row r="269" spans="1:44" x14ac:dyDescent="0.2">
      <c r="A269">
        <v>125.28636884306979</v>
      </c>
      <c r="B269">
        <v>125.28636884306979</v>
      </c>
      <c r="C269">
        <v>149.15043909889249</v>
      </c>
      <c r="D269">
        <v>173.01450935471581</v>
      </c>
      <c r="E269">
        <v>21.874999999999989</v>
      </c>
      <c r="F269">
        <v>21.874999999999989</v>
      </c>
      <c r="G269">
        <v>26.041666666666639</v>
      </c>
      <c r="H269">
        <v>30.208333333333371</v>
      </c>
      <c r="J269">
        <v>131.7453625632379</v>
      </c>
      <c r="K269">
        <v>144.91989881956169</v>
      </c>
      <c r="L269">
        <v>177.85623946037089</v>
      </c>
      <c r="M269">
        <v>177.85623946037089</v>
      </c>
      <c r="N269">
        <v>20.83333333333335</v>
      </c>
      <c r="O269">
        <v>22.916666666666689</v>
      </c>
      <c r="P269">
        <v>28.124999999999989</v>
      </c>
      <c r="Q269">
        <v>28.124999999999989</v>
      </c>
      <c r="S269">
        <v>122.7678571428573</v>
      </c>
      <c r="T269">
        <v>128.34821428571419</v>
      </c>
      <c r="U269">
        <v>133.92857142857159</v>
      </c>
      <c r="V269">
        <v>133.92857142857159</v>
      </c>
      <c r="W269">
        <v>22.9166666666667</v>
      </c>
      <c r="X269">
        <v>23.958333333333329</v>
      </c>
      <c r="Y269">
        <v>25.000000000000021</v>
      </c>
      <c r="Z269">
        <v>25.000000000000021</v>
      </c>
      <c r="AB269">
        <v>188.82175226586111</v>
      </c>
      <c r="AC269">
        <v>94.410876132930298</v>
      </c>
      <c r="AD269">
        <v>125.88116817724089</v>
      </c>
      <c r="AE269">
        <v>188.82175226586111</v>
      </c>
      <c r="AF269">
        <v>31.250000000000011</v>
      </c>
      <c r="AG269">
        <v>15.624999999999959</v>
      </c>
      <c r="AH269">
        <v>20.833333333333361</v>
      </c>
      <c r="AI269">
        <v>31.250000000000011</v>
      </c>
      <c r="AK269">
        <v>137.5</v>
      </c>
      <c r="AL269">
        <v>129.16666666666649</v>
      </c>
      <c r="AM269">
        <v>133.33333333333351</v>
      </c>
      <c r="AO269">
        <v>34.375</v>
      </c>
      <c r="AP269">
        <v>32.291666666666629</v>
      </c>
      <c r="AQ269">
        <v>33.333333333333371</v>
      </c>
    </row>
    <row r="270" spans="1:44" x14ac:dyDescent="0.2">
      <c r="A270">
        <v>125.28636884306979</v>
      </c>
      <c r="B270">
        <v>125.28636884306979</v>
      </c>
      <c r="C270">
        <v>155.11645666284861</v>
      </c>
      <c r="D270">
        <v>167.0484917907597</v>
      </c>
      <c r="E270">
        <v>21.874999999999989</v>
      </c>
      <c r="F270">
        <v>21.874999999999989</v>
      </c>
      <c r="G270">
        <v>27.083333333333361</v>
      </c>
      <c r="H270">
        <v>29.16666666666665</v>
      </c>
      <c r="J270">
        <v>131.7453625632379</v>
      </c>
      <c r="K270">
        <v>144.91989881956169</v>
      </c>
      <c r="L270">
        <v>184.44350758853309</v>
      </c>
      <c r="M270">
        <v>177.8562394603714</v>
      </c>
      <c r="N270">
        <v>20.83333333333335</v>
      </c>
      <c r="O270">
        <v>22.916666666666689</v>
      </c>
      <c r="P270">
        <v>29.166666666666689</v>
      </c>
      <c r="Q270">
        <v>28.12500000000006</v>
      </c>
      <c r="S270">
        <v>145.08928571428581</v>
      </c>
      <c r="T270">
        <v>122.7678571428573</v>
      </c>
      <c r="U270">
        <v>133.92857142857159</v>
      </c>
      <c r="V270">
        <v>150.66964285714269</v>
      </c>
      <c r="W270">
        <v>27.08333333333335</v>
      </c>
      <c r="X270">
        <v>22.9166666666667</v>
      </c>
      <c r="Y270">
        <v>25.000000000000021</v>
      </c>
      <c r="Z270">
        <v>28.124999999999961</v>
      </c>
      <c r="AB270">
        <v>188.82175226586111</v>
      </c>
      <c r="AC270">
        <v>119.5871097683785</v>
      </c>
      <c r="AD270">
        <v>113.2930513595165</v>
      </c>
      <c r="AE270">
        <v>188.82175226586111</v>
      </c>
      <c r="AF270">
        <v>31.250000000000011</v>
      </c>
      <c r="AG270">
        <v>19.791666666666639</v>
      </c>
      <c r="AH270">
        <v>18.749999999999989</v>
      </c>
      <c r="AI270">
        <v>31.250000000000011</v>
      </c>
      <c r="AK270">
        <v>87.5</v>
      </c>
      <c r="AL270">
        <v>95.833333333333485</v>
      </c>
      <c r="AM270">
        <v>104.1666666666665</v>
      </c>
      <c r="AN270">
        <v>108.3333333333335</v>
      </c>
      <c r="AO270">
        <v>21.875</v>
      </c>
      <c r="AP270">
        <v>23.958333333333371</v>
      </c>
      <c r="AQ270">
        <v>26.041666666666629</v>
      </c>
      <c r="AR270">
        <v>27.083333333333371</v>
      </c>
    </row>
    <row r="271" spans="1:44" x14ac:dyDescent="0.2">
      <c r="A271">
        <v>131.2523864070258</v>
      </c>
      <c r="B271">
        <v>125.28636884306979</v>
      </c>
      <c r="C271">
        <v>161.08247422680421</v>
      </c>
      <c r="D271">
        <v>167.0484917907597</v>
      </c>
      <c r="E271">
        <v>22.91666666666671</v>
      </c>
      <c r="F271">
        <v>21.874999999999989</v>
      </c>
      <c r="G271">
        <v>28.125</v>
      </c>
      <c r="H271">
        <v>29.16666666666665</v>
      </c>
      <c r="J271">
        <v>144.91989881956121</v>
      </c>
      <c r="K271">
        <v>144.91989881956121</v>
      </c>
      <c r="L271">
        <v>171.26897133220879</v>
      </c>
      <c r="M271">
        <v>171.26897133220879</v>
      </c>
      <c r="N271">
        <v>22.916666666666611</v>
      </c>
      <c r="O271">
        <v>22.916666666666611</v>
      </c>
      <c r="P271">
        <v>27.08333333333329</v>
      </c>
      <c r="Q271">
        <v>27.08333333333329</v>
      </c>
      <c r="S271">
        <v>111.6071428571427</v>
      </c>
      <c r="T271">
        <v>128.34821428571419</v>
      </c>
      <c r="U271">
        <v>145.08928571428581</v>
      </c>
      <c r="V271">
        <v>150.66964285714309</v>
      </c>
      <c r="W271">
        <v>20.8333333333333</v>
      </c>
      <c r="X271">
        <v>23.958333333333329</v>
      </c>
      <c r="Y271">
        <v>27.08333333333335</v>
      </c>
      <c r="Z271">
        <v>28.12500000000005</v>
      </c>
      <c r="AB271">
        <v>151.05740181268899</v>
      </c>
      <c r="AC271">
        <v>125.8811681772404</v>
      </c>
      <c r="AD271">
        <v>144.76334340382709</v>
      </c>
      <c r="AE271">
        <v>188.8217522658606</v>
      </c>
      <c r="AF271">
        <v>25.000000000000028</v>
      </c>
      <c r="AG271">
        <v>20.83333333333329</v>
      </c>
      <c r="AH271">
        <v>23.958333333333389</v>
      </c>
      <c r="AI271">
        <v>31.249999999999929</v>
      </c>
      <c r="AK271">
        <v>91.666666666666515</v>
      </c>
      <c r="AL271">
        <v>87.5</v>
      </c>
      <c r="AM271">
        <v>100</v>
      </c>
      <c r="AN271">
        <v>100</v>
      </c>
      <c r="AO271">
        <v>22.916666666666629</v>
      </c>
      <c r="AP271">
        <v>21.875</v>
      </c>
      <c r="AQ271">
        <v>25</v>
      </c>
      <c r="AR271">
        <v>25</v>
      </c>
    </row>
    <row r="272" spans="1:44" x14ac:dyDescent="0.2">
      <c r="A272">
        <v>125.28636884306979</v>
      </c>
      <c r="B272">
        <v>119.32035127911421</v>
      </c>
      <c r="C272">
        <v>155.11645666284861</v>
      </c>
      <c r="D272">
        <v>167.0484917907597</v>
      </c>
      <c r="E272">
        <v>21.874999999999989</v>
      </c>
      <c r="F272">
        <v>20.833333333333339</v>
      </c>
      <c r="G272">
        <v>27.083333333333361</v>
      </c>
      <c r="H272">
        <v>29.16666666666665</v>
      </c>
      <c r="J272">
        <v>158.09443507588551</v>
      </c>
      <c r="K272">
        <v>131.7453625632379</v>
      </c>
      <c r="L272">
        <v>184.44350758853309</v>
      </c>
      <c r="M272">
        <v>158.09443507588551</v>
      </c>
      <c r="N272">
        <v>25.000000000000021</v>
      </c>
      <c r="O272">
        <v>20.83333333333335</v>
      </c>
      <c r="P272">
        <v>29.166666666666689</v>
      </c>
      <c r="Q272">
        <v>25.000000000000021</v>
      </c>
      <c r="S272">
        <v>128.3482142857147</v>
      </c>
      <c r="T272">
        <v>128.3482142857147</v>
      </c>
      <c r="U272">
        <v>133.92857142857159</v>
      </c>
      <c r="V272">
        <v>139.50892857142841</v>
      </c>
      <c r="W272">
        <v>23.95833333333341</v>
      </c>
      <c r="X272">
        <v>23.95833333333341</v>
      </c>
      <c r="Y272">
        <v>25.000000000000021</v>
      </c>
      <c r="Z272">
        <v>26.04166666666665</v>
      </c>
      <c r="AB272">
        <v>132.1752265861023</v>
      </c>
      <c r="AC272">
        <v>144.76334340382709</v>
      </c>
      <c r="AD272">
        <v>138.46928499496519</v>
      </c>
      <c r="AE272">
        <v>176.23363544813671</v>
      </c>
      <c r="AF272">
        <v>21.87499999999994</v>
      </c>
      <c r="AG272">
        <v>23.958333333333389</v>
      </c>
      <c r="AH272">
        <v>22.916666666666739</v>
      </c>
      <c r="AI272">
        <v>29.166666666666629</v>
      </c>
      <c r="AK272">
        <v>133.33333333333351</v>
      </c>
      <c r="AL272">
        <v>133.33333333333351</v>
      </c>
      <c r="AM272">
        <v>141.66666666666649</v>
      </c>
      <c r="AO272">
        <v>33.333333333333371</v>
      </c>
      <c r="AP272">
        <v>33.333333333333371</v>
      </c>
      <c r="AQ272">
        <v>35.416666666666629</v>
      </c>
    </row>
    <row r="273" spans="1:44" x14ac:dyDescent="0.2">
      <c r="A273">
        <v>137.21840397098089</v>
      </c>
      <c r="B273">
        <v>113.3543337151586</v>
      </c>
      <c r="C273">
        <v>149.150439098893</v>
      </c>
      <c r="D273">
        <v>173.0145093547153</v>
      </c>
      <c r="E273">
        <v>23.958333333333272</v>
      </c>
      <c r="F273">
        <v>19.7916666666667</v>
      </c>
      <c r="G273">
        <v>26.041666666666721</v>
      </c>
      <c r="H273">
        <v>30.20833333333329</v>
      </c>
      <c r="J273">
        <v>151.50716694772379</v>
      </c>
      <c r="K273">
        <v>144.91989881956121</v>
      </c>
      <c r="L273">
        <v>171.26897133220879</v>
      </c>
      <c r="M273">
        <v>171.26897133220879</v>
      </c>
      <c r="N273">
        <v>23.958333333333389</v>
      </c>
      <c r="O273">
        <v>22.916666666666611</v>
      </c>
      <c r="P273">
        <v>27.08333333333329</v>
      </c>
      <c r="Q273">
        <v>27.08333333333329</v>
      </c>
      <c r="S273">
        <v>122.7678571428569</v>
      </c>
      <c r="T273">
        <v>128.3482142857147</v>
      </c>
      <c r="U273">
        <v>139.50892857142841</v>
      </c>
      <c r="V273">
        <v>139.50892857142841</v>
      </c>
      <c r="W273">
        <v>22.916666666666622</v>
      </c>
      <c r="X273">
        <v>23.95833333333341</v>
      </c>
      <c r="Y273">
        <v>26.04166666666665</v>
      </c>
      <c r="Z273">
        <v>26.04166666666665</v>
      </c>
      <c r="AB273">
        <v>182.5276938569987</v>
      </c>
      <c r="AC273">
        <v>113.2930513595165</v>
      </c>
      <c r="AD273">
        <v>125.8811681772404</v>
      </c>
      <c r="AE273">
        <v>182.5276938569987</v>
      </c>
      <c r="AF273">
        <v>30.208333333333279</v>
      </c>
      <c r="AG273">
        <v>18.749999999999989</v>
      </c>
      <c r="AH273">
        <v>20.83333333333329</v>
      </c>
      <c r="AI273">
        <v>30.208333333333279</v>
      </c>
      <c r="AK273">
        <v>145.83333333333351</v>
      </c>
      <c r="AL273">
        <v>129.16666666666649</v>
      </c>
      <c r="AM273">
        <v>129.16666666666649</v>
      </c>
      <c r="AO273">
        <v>36.458333333333371</v>
      </c>
      <c r="AP273">
        <v>32.291666666666629</v>
      </c>
      <c r="AQ273">
        <v>32.291666666666629</v>
      </c>
    </row>
    <row r="274" spans="1:44" x14ac:dyDescent="0.2">
      <c r="A274">
        <v>125.28636884306979</v>
      </c>
      <c r="B274">
        <v>125.28636884306979</v>
      </c>
      <c r="C274">
        <v>155.11645666284861</v>
      </c>
      <c r="D274">
        <v>167.0484917907597</v>
      </c>
      <c r="E274">
        <v>21.874999999999989</v>
      </c>
      <c r="F274">
        <v>21.874999999999989</v>
      </c>
      <c r="G274">
        <v>27.083333333333361</v>
      </c>
      <c r="H274">
        <v>29.16666666666665</v>
      </c>
      <c r="J274">
        <v>144.91989881956121</v>
      </c>
      <c r="K274">
        <v>131.7453625632379</v>
      </c>
      <c r="L274">
        <v>184.44350758853309</v>
      </c>
      <c r="M274">
        <v>171.26897133220879</v>
      </c>
      <c r="N274">
        <v>22.916666666666611</v>
      </c>
      <c r="O274">
        <v>20.83333333333335</v>
      </c>
      <c r="P274">
        <v>29.166666666666689</v>
      </c>
      <c r="Q274">
        <v>27.08333333333329</v>
      </c>
      <c r="S274">
        <v>133.92857142857159</v>
      </c>
      <c r="T274">
        <v>117.1875</v>
      </c>
      <c r="U274">
        <v>139.50892857142841</v>
      </c>
      <c r="V274">
        <v>145.0892857142853</v>
      </c>
      <c r="W274">
        <v>25.000000000000021</v>
      </c>
      <c r="X274">
        <v>21.875</v>
      </c>
      <c r="Y274">
        <v>26.04166666666665</v>
      </c>
      <c r="Z274">
        <v>27.083333333333261</v>
      </c>
      <c r="AB274">
        <v>169.93957703927481</v>
      </c>
      <c r="AC274">
        <v>125.8811681772404</v>
      </c>
      <c r="AD274">
        <v>138.46928499496519</v>
      </c>
      <c r="AE274">
        <v>176.23363544813671</v>
      </c>
      <c r="AF274">
        <v>28.124999999999979</v>
      </c>
      <c r="AG274">
        <v>20.83333333333329</v>
      </c>
      <c r="AH274">
        <v>22.916666666666739</v>
      </c>
      <c r="AI274">
        <v>29.166666666666629</v>
      </c>
      <c r="AK274">
        <v>100</v>
      </c>
      <c r="AL274">
        <v>95.83333333333303</v>
      </c>
      <c r="AM274">
        <v>104.166666666667</v>
      </c>
      <c r="AN274">
        <v>91.66666666666697</v>
      </c>
      <c r="AO274">
        <v>25</v>
      </c>
      <c r="AP274">
        <v>23.958333333333261</v>
      </c>
      <c r="AQ274">
        <v>26.041666666666739</v>
      </c>
      <c r="AR274">
        <v>22.916666666666739</v>
      </c>
    </row>
    <row r="275" spans="1:44" x14ac:dyDescent="0.2">
      <c r="A275">
        <v>125.28636884306979</v>
      </c>
      <c r="B275">
        <v>119.32035127911421</v>
      </c>
      <c r="C275">
        <v>161.08247422680421</v>
      </c>
      <c r="D275">
        <v>161.08247422680421</v>
      </c>
      <c r="E275">
        <v>21.874999999999989</v>
      </c>
      <c r="F275">
        <v>20.833333333333339</v>
      </c>
      <c r="G275">
        <v>28.125</v>
      </c>
      <c r="H275">
        <v>28.125</v>
      </c>
      <c r="J275">
        <v>138.3326306913996</v>
      </c>
      <c r="K275">
        <v>151.50716694772379</v>
      </c>
      <c r="L275">
        <v>164.68170320404721</v>
      </c>
      <c r="M275">
        <v>171.26897133220879</v>
      </c>
      <c r="N275">
        <v>21.874999999999979</v>
      </c>
      <c r="O275">
        <v>23.958333333333389</v>
      </c>
      <c r="P275">
        <v>26.04166666666665</v>
      </c>
      <c r="Q275">
        <v>27.08333333333329</v>
      </c>
      <c r="S275">
        <v>117.1875</v>
      </c>
      <c r="T275">
        <v>128.3482142857147</v>
      </c>
      <c r="U275">
        <v>145.0892857142853</v>
      </c>
      <c r="V275">
        <v>145.0892857142853</v>
      </c>
      <c r="W275">
        <v>21.875</v>
      </c>
      <c r="X275">
        <v>23.95833333333341</v>
      </c>
      <c r="Y275">
        <v>27.083333333333261</v>
      </c>
      <c r="Z275">
        <v>27.083333333333261</v>
      </c>
      <c r="AB275">
        <v>169.93957703927481</v>
      </c>
      <c r="AC275">
        <v>106.9989929506546</v>
      </c>
      <c r="AD275">
        <v>157.35146022155101</v>
      </c>
      <c r="AE275">
        <v>157.35146022155101</v>
      </c>
      <c r="AF275">
        <v>28.124999999999979</v>
      </c>
      <c r="AG275">
        <v>17.708333333333339</v>
      </c>
      <c r="AH275">
        <v>26.041666666666679</v>
      </c>
      <c r="AI275">
        <v>26.041666666666679</v>
      </c>
      <c r="AK275">
        <v>100</v>
      </c>
      <c r="AL275">
        <v>104.166666666667</v>
      </c>
      <c r="AM275">
        <v>95.83333333333303</v>
      </c>
      <c r="AN275">
        <v>95.83333333333303</v>
      </c>
      <c r="AO275">
        <v>25</v>
      </c>
      <c r="AP275">
        <v>26.041666666666739</v>
      </c>
      <c r="AQ275">
        <v>23.958333333333261</v>
      </c>
      <c r="AR275">
        <v>23.958333333333261</v>
      </c>
    </row>
    <row r="276" spans="1:44" x14ac:dyDescent="0.2">
      <c r="A276">
        <v>131.2523864070254</v>
      </c>
      <c r="B276">
        <v>125.28636884306979</v>
      </c>
      <c r="C276">
        <v>149.150439098893</v>
      </c>
      <c r="D276">
        <v>167.0484917907597</v>
      </c>
      <c r="E276">
        <v>22.916666666666629</v>
      </c>
      <c r="F276">
        <v>21.874999999999989</v>
      </c>
      <c r="G276">
        <v>26.041666666666721</v>
      </c>
      <c r="H276">
        <v>29.16666666666665</v>
      </c>
      <c r="J276">
        <v>158.09443507588551</v>
      </c>
      <c r="K276">
        <v>138.3326306913996</v>
      </c>
      <c r="L276">
        <v>171.26897133220879</v>
      </c>
      <c r="M276">
        <v>177.85623946037049</v>
      </c>
      <c r="N276">
        <v>25.000000000000021</v>
      </c>
      <c r="O276">
        <v>21.874999999999979</v>
      </c>
      <c r="P276">
        <v>27.08333333333329</v>
      </c>
      <c r="Q276">
        <v>28.124999999999918</v>
      </c>
      <c r="S276">
        <v>150.66964285714309</v>
      </c>
      <c r="T276">
        <v>117.1875</v>
      </c>
      <c r="U276">
        <v>139.50892857142841</v>
      </c>
      <c r="V276">
        <v>117.1875</v>
      </c>
      <c r="W276">
        <v>28.12500000000005</v>
      </c>
      <c r="X276">
        <v>21.875</v>
      </c>
      <c r="Y276">
        <v>26.04166666666665</v>
      </c>
      <c r="Z276">
        <v>21.875</v>
      </c>
      <c r="AB276">
        <v>151.05740181268899</v>
      </c>
      <c r="AC276">
        <v>132.1752265861023</v>
      </c>
      <c r="AD276">
        <v>138.46928499496519</v>
      </c>
      <c r="AE276">
        <v>188.8217522658606</v>
      </c>
      <c r="AF276">
        <v>25.000000000000028</v>
      </c>
      <c r="AG276">
        <v>21.87499999999994</v>
      </c>
      <c r="AH276">
        <v>22.916666666666739</v>
      </c>
      <c r="AI276">
        <v>31.249999999999929</v>
      </c>
      <c r="AK276">
        <v>133.333333333333</v>
      </c>
      <c r="AL276">
        <v>125</v>
      </c>
      <c r="AM276">
        <v>150</v>
      </c>
      <c r="AO276">
        <v>33.333333333333258</v>
      </c>
      <c r="AP276">
        <v>31.25</v>
      </c>
      <c r="AQ276">
        <v>37.5</v>
      </c>
    </row>
    <row r="277" spans="1:44" x14ac:dyDescent="0.2">
      <c r="A277">
        <v>107.3883161512031</v>
      </c>
      <c r="B277">
        <v>131.2523864070254</v>
      </c>
      <c r="C277">
        <v>149.150439098893</v>
      </c>
      <c r="D277">
        <v>173.0145093547153</v>
      </c>
      <c r="E277">
        <v>18.75000000000006</v>
      </c>
      <c r="F277">
        <v>22.916666666666629</v>
      </c>
      <c r="G277">
        <v>26.041666666666721</v>
      </c>
      <c r="H277">
        <v>30.20833333333329</v>
      </c>
      <c r="J277">
        <v>138.33263069140051</v>
      </c>
      <c r="K277">
        <v>138.33263069140051</v>
      </c>
      <c r="L277">
        <v>184.44350758853221</v>
      </c>
      <c r="M277">
        <v>171.26897133220879</v>
      </c>
      <c r="N277">
        <v>21.875000000000131</v>
      </c>
      <c r="O277">
        <v>21.875000000000131</v>
      </c>
      <c r="P277">
        <v>29.166666666666551</v>
      </c>
      <c r="Q277">
        <v>27.08333333333329</v>
      </c>
      <c r="S277">
        <v>128.3482142857147</v>
      </c>
      <c r="T277">
        <v>139.50892857142841</v>
      </c>
      <c r="U277">
        <v>145.0892857142853</v>
      </c>
      <c r="V277">
        <v>128.3482142857147</v>
      </c>
      <c r="W277">
        <v>23.95833333333341</v>
      </c>
      <c r="X277">
        <v>26.04166666666665</v>
      </c>
      <c r="Y277">
        <v>27.083333333333261</v>
      </c>
      <c r="Z277">
        <v>23.95833333333341</v>
      </c>
      <c r="AB277">
        <v>163.64551863041291</v>
      </c>
      <c r="AC277">
        <v>119.5871097683785</v>
      </c>
      <c r="AD277">
        <v>132.17522658610321</v>
      </c>
      <c r="AE277">
        <v>182.5276938569987</v>
      </c>
      <c r="AF277">
        <v>27.083333333333329</v>
      </c>
      <c r="AG277">
        <v>19.791666666666639</v>
      </c>
      <c r="AH277">
        <v>21.875000000000089</v>
      </c>
      <c r="AI277">
        <v>30.208333333333279</v>
      </c>
      <c r="AK277">
        <v>158.333333333333</v>
      </c>
      <c r="AL277">
        <v>120.833333333333</v>
      </c>
      <c r="AM277">
        <v>120.833333333333</v>
      </c>
      <c r="AO277">
        <v>39.583333333333258</v>
      </c>
      <c r="AP277">
        <v>30.208333333333261</v>
      </c>
      <c r="AQ277">
        <v>30.208333333333261</v>
      </c>
    </row>
    <row r="278" spans="1:44" x14ac:dyDescent="0.2">
      <c r="A278">
        <v>125.28636884306979</v>
      </c>
      <c r="B278">
        <v>119.3203512791133</v>
      </c>
      <c r="C278">
        <v>155.11645666284861</v>
      </c>
      <c r="D278">
        <v>155.11645666284861</v>
      </c>
      <c r="E278">
        <v>21.874999999999989</v>
      </c>
      <c r="F278">
        <v>20.833333333333179</v>
      </c>
      <c r="G278">
        <v>27.083333333333361</v>
      </c>
      <c r="H278">
        <v>27.083333333333361</v>
      </c>
      <c r="J278">
        <v>151.50716694772379</v>
      </c>
      <c r="K278">
        <v>131.74536256323699</v>
      </c>
      <c r="L278">
        <v>177.85623946037049</v>
      </c>
      <c r="M278">
        <v>171.26897133220879</v>
      </c>
      <c r="N278">
        <v>23.958333333333389</v>
      </c>
      <c r="O278">
        <v>20.833333333333211</v>
      </c>
      <c r="P278">
        <v>28.124999999999918</v>
      </c>
      <c r="Q278">
        <v>27.08333333333329</v>
      </c>
      <c r="S278">
        <v>128.3482142857147</v>
      </c>
      <c r="T278">
        <v>122.7678571428569</v>
      </c>
      <c r="U278">
        <v>139.50892857142841</v>
      </c>
      <c r="V278">
        <v>145.0892857142853</v>
      </c>
      <c r="W278">
        <v>23.95833333333341</v>
      </c>
      <c r="X278">
        <v>22.916666666666622</v>
      </c>
      <c r="Y278">
        <v>26.04166666666665</v>
      </c>
      <c r="Z278">
        <v>27.083333333333261</v>
      </c>
      <c r="AB278">
        <v>163.64551863041379</v>
      </c>
      <c r="AC278">
        <v>100.7049345417927</v>
      </c>
      <c r="AD278">
        <v>176.23363544813759</v>
      </c>
      <c r="AE278">
        <v>176.23363544813759</v>
      </c>
      <c r="AF278">
        <v>27.083333333333481</v>
      </c>
      <c r="AG278">
        <v>16.666666666666689</v>
      </c>
      <c r="AH278">
        <v>29.166666666666782</v>
      </c>
      <c r="AI278">
        <v>29.166666666666782</v>
      </c>
      <c r="AK278">
        <v>100</v>
      </c>
      <c r="AL278">
        <v>100</v>
      </c>
      <c r="AM278">
        <v>95.83333333333303</v>
      </c>
      <c r="AN278">
        <v>100</v>
      </c>
      <c r="AO278">
        <v>25</v>
      </c>
      <c r="AP278">
        <v>25</v>
      </c>
      <c r="AQ278">
        <v>23.958333333333261</v>
      </c>
      <c r="AR278">
        <v>25</v>
      </c>
    </row>
    <row r="279" spans="1:44" x14ac:dyDescent="0.2">
      <c r="A279">
        <v>137.21840397098089</v>
      </c>
      <c r="B279">
        <v>131.25238640702631</v>
      </c>
      <c r="C279">
        <v>143.1844215349374</v>
      </c>
      <c r="D279">
        <v>167.0484917907597</v>
      </c>
      <c r="E279">
        <v>23.958333333333272</v>
      </c>
      <c r="F279">
        <v>22.916666666666789</v>
      </c>
      <c r="G279">
        <v>25.000000000000071</v>
      </c>
      <c r="H279">
        <v>29.16666666666665</v>
      </c>
      <c r="J279">
        <v>138.33263069140051</v>
      </c>
      <c r="K279">
        <v>151.50716694772379</v>
      </c>
      <c r="L279">
        <v>171.26897133220879</v>
      </c>
      <c r="M279">
        <v>158.0944350758873</v>
      </c>
      <c r="N279">
        <v>21.875000000000131</v>
      </c>
      <c r="O279">
        <v>23.958333333333389</v>
      </c>
      <c r="P279">
        <v>27.08333333333329</v>
      </c>
      <c r="Q279">
        <v>25.000000000000309</v>
      </c>
      <c r="S279">
        <v>122.7678571428569</v>
      </c>
      <c r="T279">
        <v>133.92857142857159</v>
      </c>
      <c r="U279">
        <v>139.50892857142941</v>
      </c>
      <c r="V279">
        <v>150.6696428571413</v>
      </c>
      <c r="W279">
        <v>22.916666666666622</v>
      </c>
      <c r="X279">
        <v>25.000000000000021</v>
      </c>
      <c r="Y279">
        <v>26.04166666666681</v>
      </c>
      <c r="Z279">
        <v>28.124999999999709</v>
      </c>
      <c r="AB279">
        <v>157.35146022155101</v>
      </c>
      <c r="AC279">
        <v>113.2930513595165</v>
      </c>
      <c r="AD279">
        <v>144.76334340382709</v>
      </c>
      <c r="AE279">
        <v>176.2336354481358</v>
      </c>
      <c r="AF279">
        <v>26.041666666666679</v>
      </c>
      <c r="AG279">
        <v>18.749999999999989</v>
      </c>
      <c r="AH279">
        <v>23.958333333333389</v>
      </c>
      <c r="AI279">
        <v>29.16666666666648</v>
      </c>
      <c r="AK279">
        <v>108.333333333333</v>
      </c>
      <c r="AL279">
        <v>108.333333333333</v>
      </c>
      <c r="AM279">
        <v>87.5</v>
      </c>
      <c r="AN279">
        <v>91.666666666668789</v>
      </c>
      <c r="AO279">
        <v>27.083333333333261</v>
      </c>
      <c r="AP279">
        <v>27.083333333333261</v>
      </c>
      <c r="AQ279">
        <v>21.875</v>
      </c>
      <c r="AR279">
        <v>22.916666666667201</v>
      </c>
    </row>
    <row r="280" spans="1:44" ht="31" x14ac:dyDescent="0.35">
      <c r="A280" s="3"/>
    </row>
    <row r="281" spans="1:44" ht="31" x14ac:dyDescent="0.35">
      <c r="A281" s="12" t="s">
        <v>170</v>
      </c>
      <c r="B281" s="13"/>
      <c r="C281" s="13"/>
      <c r="D281" s="13"/>
      <c r="E281" s="13"/>
      <c r="F281" s="13"/>
      <c r="G281" s="13"/>
      <c r="H281" s="13"/>
      <c r="J281" s="9" t="s">
        <v>75</v>
      </c>
      <c r="K281" s="10"/>
      <c r="L281" s="10"/>
      <c r="M281" s="10"/>
      <c r="N281" s="10"/>
      <c r="O281" s="10"/>
      <c r="P281" s="10"/>
      <c r="Q281" s="10"/>
      <c r="S281" s="1" t="s">
        <v>106</v>
      </c>
      <c r="T281" s="2"/>
      <c r="U281" s="2"/>
      <c r="V281" s="2"/>
      <c r="W281" s="2"/>
      <c r="X281" s="2"/>
      <c r="Y281" s="2"/>
      <c r="Z281" s="2"/>
      <c r="AB281" s="14" t="s">
        <v>172</v>
      </c>
      <c r="AC281" s="15"/>
      <c r="AD281" s="15"/>
      <c r="AE281" s="15"/>
      <c r="AF281" s="15"/>
      <c r="AG281" s="15"/>
      <c r="AH281" s="15"/>
      <c r="AI281" s="15"/>
      <c r="AK281" s="16" t="s">
        <v>155</v>
      </c>
      <c r="AL281" s="17"/>
      <c r="AM281" s="17"/>
      <c r="AN281" s="17"/>
      <c r="AO281" s="17"/>
      <c r="AP281" s="17"/>
      <c r="AQ281" s="18"/>
      <c r="AR281" s="17"/>
    </row>
    <row r="282" spans="1:44" ht="31" x14ac:dyDescent="0.35">
      <c r="A282" s="3" t="s">
        <v>2</v>
      </c>
      <c r="E282" s="7"/>
      <c r="F282" s="6" t="s">
        <v>169</v>
      </c>
      <c r="G282" s="6"/>
      <c r="H282" s="6"/>
      <c r="J282" s="3" t="s">
        <v>2</v>
      </c>
      <c r="N282" s="23" t="s">
        <v>18</v>
      </c>
      <c r="O282" s="6" t="s">
        <v>76</v>
      </c>
      <c r="P282" s="6"/>
      <c r="Q282" s="6"/>
      <c r="S282" s="3" t="s">
        <v>2</v>
      </c>
      <c r="W282" s="23" t="s">
        <v>18</v>
      </c>
      <c r="X282" s="24" t="s">
        <v>107</v>
      </c>
      <c r="AB282" s="3" t="s">
        <v>2</v>
      </c>
      <c r="AF282" s="23" t="s">
        <v>18</v>
      </c>
      <c r="AG282" s="24" t="s">
        <v>171</v>
      </c>
      <c r="AH282" s="19"/>
      <c r="AI282" s="19"/>
      <c r="AK282" s="3" t="s">
        <v>2</v>
      </c>
      <c r="AO282" s="6" t="s">
        <v>3</v>
      </c>
      <c r="AP282" s="6" t="s">
        <v>154</v>
      </c>
      <c r="AQ282" s="6"/>
      <c r="AR282" s="6"/>
    </row>
    <row r="283" spans="1:44" x14ac:dyDescent="0.2">
      <c r="A283" s="7">
        <v>1</v>
      </c>
      <c r="B283" s="6">
        <v>2</v>
      </c>
      <c r="C283" s="6">
        <v>3</v>
      </c>
      <c r="D283" s="6">
        <v>4</v>
      </c>
      <c r="E283" s="7">
        <v>1</v>
      </c>
      <c r="F283" s="6">
        <v>2</v>
      </c>
      <c r="G283" s="6">
        <v>3</v>
      </c>
      <c r="H283" s="6">
        <v>4</v>
      </c>
      <c r="J283" s="7">
        <v>1</v>
      </c>
      <c r="K283" s="6">
        <v>2</v>
      </c>
      <c r="L283" s="6">
        <v>3</v>
      </c>
      <c r="M283" s="6">
        <v>4</v>
      </c>
      <c r="N283" s="7">
        <v>1</v>
      </c>
      <c r="O283" s="6">
        <v>2</v>
      </c>
      <c r="P283" s="6">
        <v>3</v>
      </c>
      <c r="Q283" s="6">
        <v>4</v>
      </c>
      <c r="S283" s="7">
        <v>1</v>
      </c>
      <c r="T283" s="6">
        <v>2</v>
      </c>
      <c r="U283" s="6">
        <v>3</v>
      </c>
      <c r="V283" s="6">
        <v>4</v>
      </c>
      <c r="W283" s="7">
        <v>1</v>
      </c>
      <c r="X283" s="6">
        <v>2</v>
      </c>
      <c r="Y283" s="6">
        <v>3</v>
      </c>
      <c r="Z283" s="6">
        <v>4</v>
      </c>
      <c r="AB283" s="7">
        <v>1</v>
      </c>
      <c r="AC283" s="6">
        <v>2</v>
      </c>
      <c r="AD283" s="6">
        <v>3</v>
      </c>
      <c r="AE283" s="6">
        <v>4</v>
      </c>
      <c r="AF283" s="7">
        <v>1</v>
      </c>
      <c r="AG283" s="6">
        <v>2</v>
      </c>
      <c r="AH283" s="6">
        <v>3</v>
      </c>
      <c r="AI283" s="6">
        <v>4</v>
      </c>
      <c r="AK283" s="7">
        <v>1</v>
      </c>
      <c r="AL283" s="6">
        <v>2</v>
      </c>
      <c r="AM283" s="6">
        <v>3</v>
      </c>
      <c r="AN283" s="6">
        <v>4</v>
      </c>
      <c r="AO283" s="7">
        <v>1</v>
      </c>
      <c r="AP283" s="6">
        <v>2</v>
      </c>
      <c r="AQ283" s="6">
        <v>3</v>
      </c>
      <c r="AR283" s="6">
        <v>4</v>
      </c>
    </row>
    <row r="284" spans="1:44" x14ac:dyDescent="0.2">
      <c r="A284">
        <v>168.91891891891891</v>
      </c>
      <c r="B284">
        <v>125.12512512512519</v>
      </c>
      <c r="C284">
        <v>156.4064064064064</v>
      </c>
      <c r="D284">
        <v>150.1501501501501</v>
      </c>
      <c r="E284">
        <v>28.125</v>
      </c>
      <c r="F284">
        <v>20.833333333333339</v>
      </c>
      <c r="G284">
        <v>26.041666666666661</v>
      </c>
      <c r="H284">
        <v>24.999999999999989</v>
      </c>
      <c r="J284">
        <v>144.58464773922191</v>
      </c>
      <c r="K284">
        <v>144.58464773922191</v>
      </c>
      <c r="L284">
        <v>170.87276550998951</v>
      </c>
      <c r="M284">
        <v>170.87276550998959</v>
      </c>
      <c r="N284">
        <v>22.916666666666661</v>
      </c>
      <c r="O284">
        <v>22.916666666666661</v>
      </c>
      <c r="P284">
        <v>27.083333333333329</v>
      </c>
      <c r="Q284">
        <v>27.083333333333339</v>
      </c>
      <c r="S284" s="27">
        <v>118.88030000000001</v>
      </c>
      <c r="T284" s="27">
        <v>93.036720000000003</v>
      </c>
      <c r="U284" s="27">
        <v>144.72380000000001</v>
      </c>
      <c r="V284" s="27">
        <v>139.55510000000001</v>
      </c>
      <c r="W284" s="27">
        <v>23.95833</v>
      </c>
      <c r="X284" s="27">
        <v>18.75</v>
      </c>
      <c r="Y284" s="27">
        <v>29.16667</v>
      </c>
      <c r="Z284" s="27">
        <v>28.125</v>
      </c>
      <c r="AB284">
        <v>135.86956521739131</v>
      </c>
      <c r="AC284">
        <v>149.45652173913041</v>
      </c>
      <c r="AD284">
        <v>176.63043478260869</v>
      </c>
      <c r="AE284">
        <v>183.42391304347831</v>
      </c>
      <c r="AF284">
        <v>20.833333333333339</v>
      </c>
      <c r="AG284">
        <v>22.916666666666671</v>
      </c>
      <c r="AH284">
        <v>27.083333333333329</v>
      </c>
      <c r="AI284">
        <v>28.125000000000011</v>
      </c>
      <c r="AK284">
        <v>128.90625</v>
      </c>
      <c r="AL284">
        <v>125</v>
      </c>
      <c r="AM284">
        <v>144.53125</v>
      </c>
      <c r="AO284">
        <v>34.375</v>
      </c>
      <c r="AP284">
        <v>33.333333333333329</v>
      </c>
      <c r="AQ284">
        <v>38.541666666666671</v>
      </c>
    </row>
    <row r="285" spans="1:44" x14ac:dyDescent="0.2">
      <c r="A285">
        <v>137.63763763763771</v>
      </c>
      <c r="B285">
        <v>156.4064064064064</v>
      </c>
      <c r="C285">
        <v>156.40640640640649</v>
      </c>
      <c r="D285">
        <v>150.15015015015021</v>
      </c>
      <c r="E285">
        <v>22.916666666666671</v>
      </c>
      <c r="F285">
        <v>26.041666666666661</v>
      </c>
      <c r="G285">
        <v>26.041666666666689</v>
      </c>
      <c r="H285">
        <v>25.000000000000021</v>
      </c>
      <c r="J285">
        <v>138.01261829653001</v>
      </c>
      <c r="K285">
        <v>157.72870662460571</v>
      </c>
      <c r="L285">
        <v>170.87276550998959</v>
      </c>
      <c r="M285">
        <v>170.87276550998939</v>
      </c>
      <c r="N285">
        <v>21.875000000000011</v>
      </c>
      <c r="O285">
        <v>25</v>
      </c>
      <c r="P285">
        <v>27.083333333333339</v>
      </c>
      <c r="Q285">
        <v>27.083333333333321</v>
      </c>
      <c r="S285" s="27">
        <v>118.88030000000001</v>
      </c>
      <c r="T285" s="27">
        <v>108.5428</v>
      </c>
      <c r="U285" s="27">
        <v>129.21770000000001</v>
      </c>
      <c r="V285" s="27">
        <v>124.04900000000001</v>
      </c>
      <c r="W285" s="27">
        <v>23.95833</v>
      </c>
      <c r="X285" s="27">
        <v>21.875</v>
      </c>
      <c r="Y285" s="27">
        <v>26.04167</v>
      </c>
      <c r="Z285" s="27">
        <v>25</v>
      </c>
      <c r="AB285">
        <v>135.86956521739131</v>
      </c>
      <c r="AC285">
        <v>169.8369565217391</v>
      </c>
      <c r="AD285">
        <v>156.24999999999989</v>
      </c>
      <c r="AE285">
        <v>183.42391304347831</v>
      </c>
      <c r="AF285">
        <v>20.833333333333329</v>
      </c>
      <c r="AG285">
        <v>26.041666666666671</v>
      </c>
      <c r="AH285">
        <v>23.958333333333321</v>
      </c>
      <c r="AI285">
        <v>28.125</v>
      </c>
      <c r="AK285">
        <v>132.8125</v>
      </c>
      <c r="AL285">
        <v>152.34375</v>
      </c>
      <c r="AM285">
        <v>70.3125</v>
      </c>
      <c r="AO285">
        <v>35.416666666666671</v>
      </c>
      <c r="AP285">
        <v>40.625</v>
      </c>
      <c r="AQ285">
        <v>18.75</v>
      </c>
    </row>
    <row r="286" spans="1:44" x14ac:dyDescent="0.2">
      <c r="A286">
        <v>137.63763763763771</v>
      </c>
      <c r="B286">
        <v>150.15015015015021</v>
      </c>
      <c r="C286">
        <v>156.4064064064064</v>
      </c>
      <c r="D286">
        <v>150.15015015015021</v>
      </c>
      <c r="E286">
        <v>22.916666666666671</v>
      </c>
      <c r="F286">
        <v>25.000000000000021</v>
      </c>
      <c r="G286">
        <v>26.041666666666661</v>
      </c>
      <c r="H286">
        <v>25.000000000000021</v>
      </c>
      <c r="J286">
        <v>151.15667718191389</v>
      </c>
      <c r="K286">
        <v>157.72870662460579</v>
      </c>
      <c r="L286">
        <v>157.72870662460579</v>
      </c>
      <c r="M286">
        <v>164.30073606729749</v>
      </c>
      <c r="N286">
        <v>23.95833333333335</v>
      </c>
      <c r="O286">
        <v>25.000000000000021</v>
      </c>
      <c r="P286">
        <v>25.000000000000021</v>
      </c>
      <c r="Q286">
        <v>26.04166666666665</v>
      </c>
      <c r="S286" s="27">
        <v>124.04900000000001</v>
      </c>
      <c r="T286" s="27">
        <v>129.21770000000001</v>
      </c>
      <c r="U286" s="27">
        <v>113.7115</v>
      </c>
      <c r="V286" s="27">
        <v>139.55510000000001</v>
      </c>
      <c r="W286" s="27">
        <v>25</v>
      </c>
      <c r="X286" s="27">
        <v>26.04167</v>
      </c>
      <c r="Y286" s="27">
        <v>22.91667</v>
      </c>
      <c r="Z286" s="27">
        <v>28.125</v>
      </c>
      <c r="AB286">
        <v>163.04347826086951</v>
      </c>
      <c r="AC286">
        <v>156.25</v>
      </c>
      <c r="AD286">
        <v>163.04347826086951</v>
      </c>
      <c r="AE286">
        <v>169.83695652173921</v>
      </c>
      <c r="AF286">
        <v>24.999999999999989</v>
      </c>
      <c r="AG286">
        <v>23.958333333333339</v>
      </c>
      <c r="AH286">
        <v>24.999999999999989</v>
      </c>
      <c r="AI286">
        <v>26.041666666666689</v>
      </c>
      <c r="AK286">
        <v>97.65625</v>
      </c>
      <c r="AL286">
        <v>97.65625</v>
      </c>
      <c r="AM286">
        <v>89.84375</v>
      </c>
      <c r="AN286">
        <v>93.75</v>
      </c>
      <c r="AO286">
        <v>26.041666666666671</v>
      </c>
      <c r="AP286">
        <v>26.041666666666671</v>
      </c>
      <c r="AQ286">
        <v>23.958333333333339</v>
      </c>
      <c r="AR286">
        <v>25</v>
      </c>
    </row>
    <row r="287" spans="1:44" x14ac:dyDescent="0.2">
      <c r="A287">
        <v>150.15015015015021</v>
      </c>
      <c r="B287">
        <v>150.15015015015001</v>
      </c>
      <c r="C287">
        <v>150.15015015015021</v>
      </c>
      <c r="D287">
        <v>156.4064064064064</v>
      </c>
      <c r="E287">
        <v>25.000000000000021</v>
      </c>
      <c r="F287">
        <v>24.999999999999979</v>
      </c>
      <c r="G287">
        <v>25.000000000000021</v>
      </c>
      <c r="H287">
        <v>26.041666666666661</v>
      </c>
      <c r="J287">
        <v>131.44058885383811</v>
      </c>
      <c r="K287">
        <v>170.87276550998939</v>
      </c>
      <c r="L287">
        <v>170.8727655099897</v>
      </c>
      <c r="M287">
        <v>177.4447949526816</v>
      </c>
      <c r="N287">
        <v>20.833333333333339</v>
      </c>
      <c r="O287">
        <v>27.083333333333321</v>
      </c>
      <c r="P287">
        <v>27.083333333333361</v>
      </c>
      <c r="Q287">
        <v>28.125000000000028</v>
      </c>
      <c r="S287" s="27">
        <v>108.5428</v>
      </c>
      <c r="T287" s="27">
        <v>118.88030000000001</v>
      </c>
      <c r="U287" s="27">
        <v>129.21770000000001</v>
      </c>
      <c r="V287" s="27">
        <v>124.04900000000001</v>
      </c>
      <c r="W287" s="27">
        <v>21.875</v>
      </c>
      <c r="X287" s="27">
        <v>23.95833</v>
      </c>
      <c r="Y287" s="27">
        <v>26.04167</v>
      </c>
      <c r="Z287" s="27">
        <v>25</v>
      </c>
      <c r="AB287">
        <v>163.04347826086951</v>
      </c>
      <c r="AC287">
        <v>163.04347826086951</v>
      </c>
      <c r="AD287">
        <v>149.45652173913049</v>
      </c>
      <c r="AE287">
        <v>169.83695652173901</v>
      </c>
      <c r="AF287">
        <v>24.999999999999989</v>
      </c>
      <c r="AG287">
        <v>24.999999999999989</v>
      </c>
      <c r="AH287">
        <v>22.916666666666679</v>
      </c>
      <c r="AI287">
        <v>26.04166666666665</v>
      </c>
      <c r="AK287">
        <v>82.03125</v>
      </c>
      <c r="AL287">
        <v>78.125</v>
      </c>
      <c r="AM287">
        <v>70.3125</v>
      </c>
      <c r="AN287">
        <v>140.625</v>
      </c>
      <c r="AO287">
        <v>21.875</v>
      </c>
      <c r="AP287">
        <v>20.833333333333339</v>
      </c>
      <c r="AQ287">
        <v>18.75</v>
      </c>
      <c r="AR287">
        <v>37.5</v>
      </c>
    </row>
    <row r="288" spans="1:44" x14ac:dyDescent="0.2">
      <c r="A288">
        <v>175.17517517517541</v>
      </c>
      <c r="B288">
        <v>125.12512512512509</v>
      </c>
      <c r="C288">
        <v>162.6626626626626</v>
      </c>
      <c r="D288">
        <v>143.8938938938941</v>
      </c>
      <c r="E288">
        <v>29.1666666666667</v>
      </c>
      <c r="F288">
        <v>20.833333333333329</v>
      </c>
      <c r="G288">
        <v>27.083333333333311</v>
      </c>
      <c r="H288">
        <v>23.958333333333361</v>
      </c>
      <c r="J288">
        <v>131.44058885383811</v>
      </c>
      <c r="K288">
        <v>151.15667718191389</v>
      </c>
      <c r="L288">
        <v>177.4447949526816</v>
      </c>
      <c r="M288">
        <v>170.8727655099897</v>
      </c>
      <c r="N288">
        <v>20.833333333333339</v>
      </c>
      <c r="O288">
        <v>23.95833333333335</v>
      </c>
      <c r="P288">
        <v>28.125000000000028</v>
      </c>
      <c r="Q288">
        <v>27.083333333333361</v>
      </c>
      <c r="S288" s="27">
        <v>113.7115</v>
      </c>
      <c r="T288" s="27">
        <v>108.5428</v>
      </c>
      <c r="U288" s="27">
        <v>139.55510000000001</v>
      </c>
      <c r="V288" s="27">
        <v>139.55510000000001</v>
      </c>
      <c r="W288" s="27">
        <v>22.91667</v>
      </c>
      <c r="X288" s="27">
        <v>21.875</v>
      </c>
      <c r="Y288" s="27">
        <v>28.125</v>
      </c>
      <c r="Z288" s="27">
        <v>28.125</v>
      </c>
      <c r="AB288">
        <v>163.04347826086951</v>
      </c>
      <c r="AC288">
        <v>142.66304347826099</v>
      </c>
      <c r="AD288">
        <v>183.42391304347851</v>
      </c>
      <c r="AE288">
        <v>169.83695652173901</v>
      </c>
      <c r="AF288">
        <v>24.999999999999989</v>
      </c>
      <c r="AG288">
        <v>21.875000000000021</v>
      </c>
      <c r="AH288">
        <v>28.125000000000028</v>
      </c>
      <c r="AI288">
        <v>26.04166666666665</v>
      </c>
      <c r="AK288">
        <v>125</v>
      </c>
      <c r="AL288">
        <v>125</v>
      </c>
      <c r="AM288">
        <v>136.71875</v>
      </c>
      <c r="AO288">
        <v>33.333333333333329</v>
      </c>
      <c r="AP288">
        <v>33.333333333333329</v>
      </c>
      <c r="AQ288">
        <v>36.458333333333329</v>
      </c>
    </row>
    <row r="289" spans="1:44" x14ac:dyDescent="0.2">
      <c r="A289">
        <v>143.8938938938941</v>
      </c>
      <c r="B289">
        <v>143.8938938938941</v>
      </c>
      <c r="C289">
        <v>156.4064064064064</v>
      </c>
      <c r="D289">
        <v>150.15015015015021</v>
      </c>
      <c r="E289">
        <v>23.958333333333361</v>
      </c>
      <c r="F289">
        <v>23.958333333333361</v>
      </c>
      <c r="G289">
        <v>26.041666666666661</v>
      </c>
      <c r="H289">
        <v>25.000000000000021</v>
      </c>
      <c r="J289">
        <v>144.58464773922199</v>
      </c>
      <c r="K289">
        <v>144.58464773922199</v>
      </c>
      <c r="L289">
        <v>177.4447949526816</v>
      </c>
      <c r="M289">
        <v>164.30073606729769</v>
      </c>
      <c r="N289">
        <v>22.916666666666679</v>
      </c>
      <c r="O289">
        <v>22.916666666666679</v>
      </c>
      <c r="P289">
        <v>28.125000000000028</v>
      </c>
      <c r="Q289">
        <v>26.041666666666689</v>
      </c>
      <c r="S289" s="27">
        <v>113.7115</v>
      </c>
      <c r="T289" s="27">
        <v>118.88030000000001</v>
      </c>
      <c r="U289" s="27">
        <v>129.21770000000001</v>
      </c>
      <c r="V289" s="27">
        <v>139.55510000000001</v>
      </c>
      <c r="W289" s="27">
        <v>22.91667</v>
      </c>
      <c r="X289" s="27">
        <v>23.95833</v>
      </c>
      <c r="Y289" s="27">
        <v>26.04167</v>
      </c>
      <c r="Z289" s="27">
        <v>28.125</v>
      </c>
      <c r="AB289">
        <v>156.25</v>
      </c>
      <c r="AC289">
        <v>169.83695652173901</v>
      </c>
      <c r="AD289">
        <v>149.45652173913049</v>
      </c>
      <c r="AE289">
        <v>176.63043478260849</v>
      </c>
      <c r="AF289">
        <v>23.958333333333339</v>
      </c>
      <c r="AG289">
        <v>26.04166666666665</v>
      </c>
      <c r="AH289">
        <v>22.916666666666679</v>
      </c>
      <c r="AI289">
        <v>27.0833333333333</v>
      </c>
      <c r="AK289">
        <v>140.625</v>
      </c>
      <c r="AL289">
        <v>152.34375</v>
      </c>
      <c r="AM289">
        <v>70.3125</v>
      </c>
      <c r="AO289">
        <v>37.5</v>
      </c>
      <c r="AP289">
        <v>40.625</v>
      </c>
      <c r="AQ289">
        <v>18.75</v>
      </c>
    </row>
    <row r="290" spans="1:44" x14ac:dyDescent="0.2">
      <c r="A290">
        <v>175.17517517517541</v>
      </c>
      <c r="B290">
        <v>118.868868868869</v>
      </c>
      <c r="C290">
        <v>150.15015015015021</v>
      </c>
      <c r="D290">
        <v>156.4064064064064</v>
      </c>
      <c r="E290">
        <v>29.1666666666667</v>
      </c>
      <c r="F290">
        <v>19.791666666666679</v>
      </c>
      <c r="G290">
        <v>25.000000000000021</v>
      </c>
      <c r="H290">
        <v>26.041666666666661</v>
      </c>
      <c r="J290">
        <v>144.58464773922199</v>
      </c>
      <c r="K290">
        <v>144.58464773922151</v>
      </c>
      <c r="L290">
        <v>177.44479495268109</v>
      </c>
      <c r="M290">
        <v>157.72870662460539</v>
      </c>
      <c r="N290">
        <v>22.916666666666679</v>
      </c>
      <c r="O290">
        <v>22.9166666666666</v>
      </c>
      <c r="P290">
        <v>28.124999999999961</v>
      </c>
      <c r="Q290">
        <v>24.99999999999995</v>
      </c>
      <c r="S290" s="27">
        <v>108.5428</v>
      </c>
      <c r="T290" s="27">
        <v>113.7115</v>
      </c>
      <c r="U290" s="27">
        <v>129.21770000000001</v>
      </c>
      <c r="V290" s="27">
        <v>144.72380000000001</v>
      </c>
      <c r="W290" s="27">
        <v>21.875</v>
      </c>
      <c r="X290" s="27">
        <v>22.91667</v>
      </c>
      <c r="Y290" s="27">
        <v>26.04167</v>
      </c>
      <c r="Z290" s="27">
        <v>29.16667</v>
      </c>
      <c r="AB290">
        <v>176.63043478260849</v>
      </c>
      <c r="AC290">
        <v>149.45652173913049</v>
      </c>
      <c r="AD290">
        <v>163.04347826086999</v>
      </c>
      <c r="AE290">
        <v>169.83695652173901</v>
      </c>
      <c r="AF290">
        <v>27.0833333333333</v>
      </c>
      <c r="AG290">
        <v>22.916666666666679</v>
      </c>
      <c r="AH290">
        <v>25.00000000000006</v>
      </c>
      <c r="AI290">
        <v>26.04166666666665</v>
      </c>
      <c r="AK290">
        <v>97.65625</v>
      </c>
      <c r="AL290">
        <v>97.65625</v>
      </c>
      <c r="AM290">
        <v>89.84375</v>
      </c>
      <c r="AN290">
        <v>93.75</v>
      </c>
      <c r="AO290">
        <v>26.041666666666671</v>
      </c>
      <c r="AP290">
        <v>26.041666666666671</v>
      </c>
      <c r="AQ290">
        <v>23.958333333333339</v>
      </c>
      <c r="AR290">
        <v>25</v>
      </c>
    </row>
    <row r="291" spans="1:44" x14ac:dyDescent="0.2">
      <c r="A291">
        <v>150.15015015014981</v>
      </c>
      <c r="B291">
        <v>143.89389389389359</v>
      </c>
      <c r="C291">
        <v>143.89389389389359</v>
      </c>
      <c r="D291">
        <v>162.662662662663</v>
      </c>
      <c r="E291">
        <v>24.99999999999994</v>
      </c>
      <c r="F291">
        <v>23.95833333333329</v>
      </c>
      <c r="G291">
        <v>23.95833333333329</v>
      </c>
      <c r="H291">
        <v>27.083333333333389</v>
      </c>
      <c r="J291">
        <v>138.01261829652961</v>
      </c>
      <c r="K291">
        <v>157.72870662460539</v>
      </c>
      <c r="L291">
        <v>170.87276550998919</v>
      </c>
      <c r="M291">
        <v>170.87276550998919</v>
      </c>
      <c r="N291">
        <v>21.87499999999994</v>
      </c>
      <c r="O291">
        <v>24.99999999999995</v>
      </c>
      <c r="P291">
        <v>27.08333333333329</v>
      </c>
      <c r="Q291">
        <v>27.08333333333329</v>
      </c>
      <c r="S291" s="27">
        <v>113.7115</v>
      </c>
      <c r="T291" s="27">
        <v>124.04900000000001</v>
      </c>
      <c r="U291" s="27">
        <v>124.04900000000001</v>
      </c>
      <c r="V291" s="27">
        <v>124.04900000000001</v>
      </c>
      <c r="W291" s="27">
        <v>22.91667</v>
      </c>
      <c r="X291" s="27">
        <v>25</v>
      </c>
      <c r="Y291" s="27">
        <v>25</v>
      </c>
      <c r="Z291" s="27">
        <v>25</v>
      </c>
      <c r="AB291">
        <v>163.04347826086999</v>
      </c>
      <c r="AC291">
        <v>156.25</v>
      </c>
      <c r="AD291">
        <v>149.45652173913001</v>
      </c>
      <c r="AE291">
        <v>197.01086956521701</v>
      </c>
      <c r="AF291">
        <v>25.00000000000006</v>
      </c>
      <c r="AG291">
        <v>23.958333333333339</v>
      </c>
      <c r="AH291">
        <v>22.916666666666611</v>
      </c>
      <c r="AI291">
        <v>30.208333333333279</v>
      </c>
      <c r="AK291">
        <v>82.03125</v>
      </c>
      <c r="AL291">
        <v>78.125</v>
      </c>
      <c r="AM291">
        <v>70.3125</v>
      </c>
      <c r="AN291">
        <v>136.71875</v>
      </c>
      <c r="AO291">
        <v>21.875</v>
      </c>
      <c r="AP291">
        <v>20.833333333333339</v>
      </c>
      <c r="AQ291">
        <v>18.75</v>
      </c>
      <c r="AR291">
        <v>36.458333333333329</v>
      </c>
    </row>
    <row r="292" spans="1:44" x14ac:dyDescent="0.2">
      <c r="A292">
        <v>150.15015015014981</v>
      </c>
      <c r="B292">
        <v>143.89389389389359</v>
      </c>
      <c r="C292">
        <v>137.63763763763751</v>
      </c>
      <c r="D292">
        <v>168.91891891891919</v>
      </c>
      <c r="E292">
        <v>24.99999999999994</v>
      </c>
      <c r="F292">
        <v>23.95833333333329</v>
      </c>
      <c r="G292">
        <v>22.916666666666639</v>
      </c>
      <c r="H292">
        <v>28.125000000000039</v>
      </c>
      <c r="J292">
        <v>144.58464773922151</v>
      </c>
      <c r="K292">
        <v>144.58464773922151</v>
      </c>
      <c r="L292">
        <v>164.30073606729729</v>
      </c>
      <c r="M292">
        <v>177.44479495268109</v>
      </c>
      <c r="N292">
        <v>22.9166666666666</v>
      </c>
      <c r="O292">
        <v>22.9166666666666</v>
      </c>
      <c r="P292">
        <v>26.041666666666622</v>
      </c>
      <c r="Q292">
        <v>28.124999999999961</v>
      </c>
      <c r="S292" s="27">
        <v>129.21770000000001</v>
      </c>
      <c r="T292" s="27">
        <v>103.3741</v>
      </c>
      <c r="U292" s="27">
        <v>139.55510000000001</v>
      </c>
      <c r="V292" s="27">
        <v>149.89250000000001</v>
      </c>
      <c r="W292" s="27">
        <v>26.04167</v>
      </c>
      <c r="X292" s="27">
        <v>20.83333</v>
      </c>
      <c r="Y292" s="27">
        <v>28.125</v>
      </c>
      <c r="Z292" s="27">
        <v>30.20833</v>
      </c>
      <c r="AB292">
        <v>149.45652173913001</v>
      </c>
      <c r="AC292">
        <v>156.25</v>
      </c>
      <c r="AD292">
        <v>156.25</v>
      </c>
      <c r="AE292">
        <v>183.423913043478</v>
      </c>
      <c r="AF292">
        <v>22.916666666666611</v>
      </c>
      <c r="AG292">
        <v>23.958333333333339</v>
      </c>
      <c r="AH292">
        <v>23.958333333333339</v>
      </c>
      <c r="AI292">
        <v>28.124999999999972</v>
      </c>
      <c r="AK292">
        <v>128.90625</v>
      </c>
      <c r="AL292">
        <v>125</v>
      </c>
      <c r="AM292">
        <v>144.53125</v>
      </c>
      <c r="AO292">
        <v>34.375</v>
      </c>
      <c r="AP292">
        <v>33.333333333333329</v>
      </c>
      <c r="AQ292">
        <v>38.541666666666671</v>
      </c>
    </row>
    <row r="293" spans="1:44" x14ac:dyDescent="0.2">
      <c r="A293">
        <v>150.15015015014981</v>
      </c>
      <c r="B293">
        <v>143.89389389389359</v>
      </c>
      <c r="C293">
        <v>156.40640640640689</v>
      </c>
      <c r="D293">
        <v>150.15015015014981</v>
      </c>
      <c r="E293">
        <v>24.99999999999994</v>
      </c>
      <c r="F293">
        <v>23.95833333333329</v>
      </c>
      <c r="G293">
        <v>26.041666666666739</v>
      </c>
      <c r="H293">
        <v>24.99999999999994</v>
      </c>
      <c r="J293">
        <v>144.58464773922151</v>
      </c>
      <c r="K293">
        <v>144.58464773922151</v>
      </c>
      <c r="L293">
        <v>164.30073606729729</v>
      </c>
      <c r="M293">
        <v>170.87276550998919</v>
      </c>
      <c r="N293">
        <v>22.9166666666666</v>
      </c>
      <c r="O293">
        <v>22.9166666666666</v>
      </c>
      <c r="P293">
        <v>26.041666666666622</v>
      </c>
      <c r="Q293">
        <v>27.08333333333329</v>
      </c>
      <c r="S293" s="27">
        <v>108.5428</v>
      </c>
      <c r="T293" s="27">
        <v>108.5428</v>
      </c>
      <c r="U293" s="27">
        <v>124.04900000000001</v>
      </c>
      <c r="V293" s="27">
        <v>155.06120000000001</v>
      </c>
      <c r="W293" s="27">
        <v>21.875</v>
      </c>
      <c r="X293" s="27">
        <v>21.875</v>
      </c>
      <c r="Y293" s="27">
        <v>25</v>
      </c>
      <c r="Z293" s="27">
        <v>31.25</v>
      </c>
      <c r="AB293">
        <v>163.04347826086999</v>
      </c>
      <c r="AC293">
        <v>149.45652173913001</v>
      </c>
      <c r="AD293">
        <v>135.869565217391</v>
      </c>
      <c r="AE293">
        <v>197.01086956521701</v>
      </c>
      <c r="AF293">
        <v>25.00000000000006</v>
      </c>
      <c r="AG293">
        <v>22.916666666666611</v>
      </c>
      <c r="AH293">
        <v>20.83333333333329</v>
      </c>
      <c r="AI293">
        <v>30.208333333333279</v>
      </c>
      <c r="AK293">
        <v>132.8125</v>
      </c>
      <c r="AL293">
        <v>148.4375</v>
      </c>
      <c r="AM293">
        <v>74.21875</v>
      </c>
      <c r="AO293">
        <v>35.416666666666671</v>
      </c>
      <c r="AP293">
        <v>39.583333333333329</v>
      </c>
      <c r="AQ293">
        <v>19.791666666666661</v>
      </c>
    </row>
    <row r="294" spans="1:44" x14ac:dyDescent="0.2">
      <c r="A294">
        <v>143.89389389389359</v>
      </c>
      <c r="B294">
        <v>143.89389389389359</v>
      </c>
      <c r="C294">
        <v>156.40640640640589</v>
      </c>
      <c r="D294">
        <v>156.40640640640589</v>
      </c>
      <c r="E294">
        <v>23.95833333333329</v>
      </c>
      <c r="F294">
        <v>23.95833333333329</v>
      </c>
      <c r="G294">
        <v>26.04166666666659</v>
      </c>
      <c r="H294">
        <v>26.04166666666659</v>
      </c>
      <c r="J294">
        <v>144.58464773922151</v>
      </c>
      <c r="K294">
        <v>131.44058885383771</v>
      </c>
      <c r="L294">
        <v>177.44479495268109</v>
      </c>
      <c r="M294">
        <v>157.72870662460539</v>
      </c>
      <c r="N294">
        <v>22.9166666666666</v>
      </c>
      <c r="O294">
        <v>20.833333333333261</v>
      </c>
      <c r="P294">
        <v>28.124999999999961</v>
      </c>
      <c r="Q294">
        <v>24.99999999999995</v>
      </c>
      <c r="S294" s="27">
        <v>103.3741</v>
      </c>
      <c r="T294" s="27">
        <v>108.5428</v>
      </c>
      <c r="U294" s="27">
        <v>139.55510000000001</v>
      </c>
      <c r="V294" s="27">
        <v>134.38640000000001</v>
      </c>
      <c r="W294" s="27">
        <v>20.83333</v>
      </c>
      <c r="X294" s="27">
        <v>21.875</v>
      </c>
      <c r="Y294" s="27">
        <v>28.125</v>
      </c>
      <c r="Z294" s="27">
        <v>27.08333</v>
      </c>
      <c r="AB294">
        <v>149.45652173913001</v>
      </c>
      <c r="AC294">
        <v>163.04347826086999</v>
      </c>
      <c r="AD294">
        <v>176.630434782609</v>
      </c>
      <c r="AE294">
        <v>176.630434782609</v>
      </c>
      <c r="AF294">
        <v>22.916666666666611</v>
      </c>
      <c r="AG294">
        <v>25.00000000000006</v>
      </c>
      <c r="AH294">
        <v>27.083333333333371</v>
      </c>
      <c r="AI294">
        <v>27.083333333333371</v>
      </c>
      <c r="AK294">
        <v>97.65625</v>
      </c>
      <c r="AL294">
        <v>97.65625</v>
      </c>
      <c r="AM294">
        <v>89.84375</v>
      </c>
      <c r="AN294">
        <v>93.75</v>
      </c>
      <c r="AO294">
        <v>26.041666666666671</v>
      </c>
      <c r="AP294">
        <v>26.041666666666671</v>
      </c>
      <c r="AQ294">
        <v>23.958333333333339</v>
      </c>
      <c r="AR294">
        <v>25</v>
      </c>
    </row>
    <row r="295" spans="1:44" x14ac:dyDescent="0.2">
      <c r="A295">
        <v>137.63763763763751</v>
      </c>
      <c r="B295">
        <v>156.40640640640589</v>
      </c>
      <c r="C295">
        <v>150.15015015014981</v>
      </c>
      <c r="D295">
        <v>156.40640640640589</v>
      </c>
      <c r="E295">
        <v>22.916666666666639</v>
      </c>
      <c r="F295">
        <v>26.04166666666659</v>
      </c>
      <c r="G295">
        <v>24.99999999999994</v>
      </c>
      <c r="H295">
        <v>26.04166666666659</v>
      </c>
      <c r="J295">
        <v>157.72870662460539</v>
      </c>
      <c r="K295">
        <v>131.44058885383771</v>
      </c>
      <c r="L295">
        <v>170.87276550998919</v>
      </c>
      <c r="M295">
        <v>177.44479495268109</v>
      </c>
      <c r="N295">
        <v>24.99999999999995</v>
      </c>
      <c r="O295">
        <v>20.833333333333261</v>
      </c>
      <c r="P295">
        <v>27.08333333333329</v>
      </c>
      <c r="Q295">
        <v>28.124999999999961</v>
      </c>
      <c r="S295" s="27">
        <v>103.3741</v>
      </c>
      <c r="T295" s="27">
        <v>134.38640000000001</v>
      </c>
      <c r="U295" s="27">
        <v>124.04900000000001</v>
      </c>
      <c r="V295" s="27">
        <v>124.04900000000001</v>
      </c>
      <c r="W295" s="27">
        <v>20.83333</v>
      </c>
      <c r="X295" s="27">
        <v>27.08333</v>
      </c>
      <c r="Y295" s="27">
        <v>25</v>
      </c>
      <c r="Z295" s="27">
        <v>25</v>
      </c>
      <c r="AB295">
        <v>163.04347826086999</v>
      </c>
      <c r="AC295">
        <v>142.66304347826099</v>
      </c>
      <c r="AD295">
        <v>176.630434782609</v>
      </c>
      <c r="AE295">
        <v>169.83695652173901</v>
      </c>
      <c r="AF295">
        <v>25.00000000000006</v>
      </c>
      <c r="AG295">
        <v>21.875000000000021</v>
      </c>
      <c r="AH295">
        <v>27.083333333333371</v>
      </c>
      <c r="AI295">
        <v>26.04166666666665</v>
      </c>
      <c r="AK295">
        <v>82.03125</v>
      </c>
      <c r="AL295">
        <v>78.125</v>
      </c>
      <c r="AM295">
        <v>70.3125</v>
      </c>
      <c r="AN295">
        <v>140.625</v>
      </c>
      <c r="AO295">
        <v>21.875</v>
      </c>
      <c r="AP295">
        <v>20.833333333333339</v>
      </c>
      <c r="AQ295">
        <v>18.75</v>
      </c>
      <c r="AR295">
        <v>37.5</v>
      </c>
    </row>
    <row r="296" spans="1:44" x14ac:dyDescent="0.2">
      <c r="A296">
        <v>137.63763763763751</v>
      </c>
      <c r="B296">
        <v>156.40640640640589</v>
      </c>
      <c r="C296">
        <v>150.15015015014981</v>
      </c>
      <c r="D296">
        <v>162.662662662663</v>
      </c>
      <c r="E296">
        <v>22.916666666666639</v>
      </c>
      <c r="F296">
        <v>26.04166666666659</v>
      </c>
      <c r="G296">
        <v>24.99999999999994</v>
      </c>
      <c r="H296">
        <v>27.083333333333389</v>
      </c>
      <c r="J296">
        <v>151.15667718191341</v>
      </c>
      <c r="K296">
        <v>138.01261829652961</v>
      </c>
      <c r="L296">
        <v>177.44479495268109</v>
      </c>
      <c r="M296">
        <v>170.8727655099901</v>
      </c>
      <c r="N296">
        <v>23.958333333333279</v>
      </c>
      <c r="O296">
        <v>21.87499999999994</v>
      </c>
      <c r="P296">
        <v>28.124999999999961</v>
      </c>
      <c r="Q296">
        <v>27.083333333333432</v>
      </c>
      <c r="S296" s="27">
        <v>124.04900000000001</v>
      </c>
      <c r="T296" s="27">
        <v>93.036720000000003</v>
      </c>
      <c r="U296" s="27">
        <v>139.55510000000001</v>
      </c>
      <c r="V296" s="27">
        <v>155.06120000000001</v>
      </c>
      <c r="W296" s="27">
        <v>25</v>
      </c>
      <c r="X296" s="27">
        <v>18.75</v>
      </c>
      <c r="Y296" s="27">
        <v>28.125</v>
      </c>
      <c r="Z296" s="27">
        <v>31.25</v>
      </c>
      <c r="AB296">
        <v>163.04347826086999</v>
      </c>
      <c r="AC296">
        <v>129.076086956522</v>
      </c>
      <c r="AD296">
        <v>176.63043478260809</v>
      </c>
      <c r="AE296">
        <v>197.01086956521789</v>
      </c>
      <c r="AF296">
        <v>25.00000000000006</v>
      </c>
      <c r="AG296">
        <v>19.7916666666667</v>
      </c>
      <c r="AH296">
        <v>27.08333333333324</v>
      </c>
      <c r="AI296">
        <v>30.208333333333421</v>
      </c>
      <c r="AK296">
        <v>125</v>
      </c>
      <c r="AL296">
        <v>125</v>
      </c>
      <c r="AM296">
        <v>156.25</v>
      </c>
      <c r="AO296">
        <v>33.333333333333329</v>
      </c>
      <c r="AP296">
        <v>33.333333333333329</v>
      </c>
      <c r="AQ296">
        <v>41.666666666666671</v>
      </c>
    </row>
    <row r="297" spans="1:44" x14ac:dyDescent="0.2">
      <c r="A297">
        <v>143.89389389389359</v>
      </c>
      <c r="B297">
        <v>143.89389389389359</v>
      </c>
      <c r="C297">
        <v>168.91891891891919</v>
      </c>
      <c r="D297">
        <v>137.63763763763751</v>
      </c>
      <c r="E297">
        <v>23.95833333333329</v>
      </c>
      <c r="F297">
        <v>23.95833333333329</v>
      </c>
      <c r="G297">
        <v>28.125000000000039</v>
      </c>
      <c r="H297">
        <v>22.916666666666639</v>
      </c>
      <c r="J297">
        <v>138.01261829653049</v>
      </c>
      <c r="K297">
        <v>151.15667718191429</v>
      </c>
      <c r="L297">
        <v>164.3007360672982</v>
      </c>
      <c r="M297">
        <v>170.8727655099901</v>
      </c>
      <c r="N297">
        <v>21.875000000000082</v>
      </c>
      <c r="O297">
        <v>23.958333333333421</v>
      </c>
      <c r="P297">
        <v>26.04166666666676</v>
      </c>
      <c r="Q297">
        <v>27.083333333333432</v>
      </c>
      <c r="S297" s="27">
        <v>103.3741</v>
      </c>
      <c r="T297" s="27">
        <v>118.88030000000001</v>
      </c>
      <c r="U297" s="27">
        <v>134.38640000000001</v>
      </c>
      <c r="V297" s="27">
        <v>139.55510000000001</v>
      </c>
      <c r="W297" s="27">
        <v>20.83333</v>
      </c>
      <c r="X297" s="27">
        <v>23.95833</v>
      </c>
      <c r="Y297" s="27">
        <v>27.08333</v>
      </c>
      <c r="Z297" s="27">
        <v>28.125</v>
      </c>
      <c r="AB297">
        <v>156.25</v>
      </c>
      <c r="AC297">
        <v>142.66304347826011</v>
      </c>
      <c r="AD297">
        <v>163.04347826086999</v>
      </c>
      <c r="AE297">
        <v>183.423913043478</v>
      </c>
      <c r="AF297">
        <v>23.958333333333339</v>
      </c>
      <c r="AG297">
        <v>21.874999999999879</v>
      </c>
      <c r="AH297">
        <v>25.00000000000006</v>
      </c>
      <c r="AI297">
        <v>28.124999999999972</v>
      </c>
      <c r="AK297">
        <v>121.09375</v>
      </c>
      <c r="AL297">
        <v>156.25</v>
      </c>
      <c r="AM297">
        <v>66.40625</v>
      </c>
      <c r="AO297">
        <v>32.291666666666671</v>
      </c>
      <c r="AP297">
        <v>41.666666666666671</v>
      </c>
      <c r="AQ297">
        <v>17.708333333333339</v>
      </c>
    </row>
    <row r="298" spans="1:44" x14ac:dyDescent="0.2">
      <c r="A298">
        <v>156.40640640640589</v>
      </c>
      <c r="B298">
        <v>137.63763763763751</v>
      </c>
      <c r="C298">
        <v>143.89389389389359</v>
      </c>
      <c r="D298">
        <v>162.66266266266209</v>
      </c>
      <c r="E298">
        <v>26.04166666666659</v>
      </c>
      <c r="F298">
        <v>22.916666666666639</v>
      </c>
      <c r="G298">
        <v>23.95833333333329</v>
      </c>
      <c r="H298">
        <v>27.08333333333324</v>
      </c>
      <c r="J298">
        <v>151.15667718191429</v>
      </c>
      <c r="K298">
        <v>138.01261829653049</v>
      </c>
      <c r="L298">
        <v>177.44479495268209</v>
      </c>
      <c r="M298">
        <v>157.7287066246063</v>
      </c>
      <c r="N298">
        <v>23.958333333333421</v>
      </c>
      <c r="O298">
        <v>21.875000000000082</v>
      </c>
      <c r="P298">
        <v>28.125000000000099</v>
      </c>
      <c r="Q298">
        <v>25.000000000000089</v>
      </c>
      <c r="S298" s="27">
        <v>124.04900000000001</v>
      </c>
      <c r="T298" s="27">
        <v>108.5428</v>
      </c>
      <c r="U298" s="27">
        <v>118.88030000000001</v>
      </c>
      <c r="V298" s="27">
        <v>160.22989999999999</v>
      </c>
      <c r="W298" s="27">
        <v>25</v>
      </c>
      <c r="X298" s="27">
        <v>21.875</v>
      </c>
      <c r="Y298" s="27">
        <v>23.95833</v>
      </c>
      <c r="Z298" s="27">
        <v>32.291670000000003</v>
      </c>
      <c r="AB298">
        <v>163.04347826086999</v>
      </c>
      <c r="AC298">
        <v>115.4891304347821</v>
      </c>
      <c r="AD298">
        <v>190.21739130434801</v>
      </c>
      <c r="AE298">
        <v>176.63043478260809</v>
      </c>
      <c r="AF298">
        <v>25.00000000000006</v>
      </c>
      <c r="AG298">
        <v>17.70833333333325</v>
      </c>
      <c r="AH298">
        <v>29.166666666666689</v>
      </c>
      <c r="AI298">
        <v>27.08333333333324</v>
      </c>
      <c r="AK298">
        <v>97.65625</v>
      </c>
      <c r="AL298">
        <v>97.65625</v>
      </c>
      <c r="AM298">
        <v>89.84375</v>
      </c>
      <c r="AN298">
        <v>93.75</v>
      </c>
      <c r="AO298">
        <v>26.041666666666671</v>
      </c>
      <c r="AP298">
        <v>26.041666666666671</v>
      </c>
      <c r="AQ298">
        <v>23.958333333333339</v>
      </c>
      <c r="AR298">
        <v>25</v>
      </c>
    </row>
    <row r="299" spans="1:44" x14ac:dyDescent="0.2">
      <c r="A299">
        <v>131.38138138138129</v>
      </c>
      <c r="B299">
        <v>156.40640640640589</v>
      </c>
      <c r="C299">
        <v>156.40640640640589</v>
      </c>
      <c r="D299">
        <v>156.4064064064132</v>
      </c>
      <c r="E299">
        <v>21.874999999999979</v>
      </c>
      <c r="F299">
        <v>26.04166666666659</v>
      </c>
      <c r="G299">
        <v>26.04166666666659</v>
      </c>
      <c r="H299">
        <v>26.041666666667801</v>
      </c>
      <c r="J299">
        <v>151.15667718191429</v>
      </c>
      <c r="K299">
        <v>144.58464773922239</v>
      </c>
      <c r="L299">
        <v>157.7287066246063</v>
      </c>
      <c r="M299">
        <v>177.44479495268209</v>
      </c>
      <c r="N299">
        <v>23.958333333333421</v>
      </c>
      <c r="O299">
        <v>22.91666666666675</v>
      </c>
      <c r="P299">
        <v>25.000000000000089</v>
      </c>
      <c r="Q299">
        <v>28.125000000000099</v>
      </c>
      <c r="S299" s="27">
        <v>108.5428</v>
      </c>
      <c r="T299" s="27">
        <v>113.7115</v>
      </c>
      <c r="U299" s="27">
        <v>129.21770000000001</v>
      </c>
      <c r="V299" s="27">
        <v>129.21770000000001</v>
      </c>
      <c r="W299" s="27">
        <v>21.875</v>
      </c>
      <c r="X299" s="27">
        <v>22.91667</v>
      </c>
      <c r="Y299" s="27">
        <v>26.04167</v>
      </c>
      <c r="Z299" s="27">
        <v>26.04167</v>
      </c>
      <c r="AB299">
        <v>163.04347826086999</v>
      </c>
      <c r="AC299">
        <v>142.66304347826011</v>
      </c>
      <c r="AD299">
        <v>163.04347826086999</v>
      </c>
      <c r="AE299">
        <v>176.63043478260991</v>
      </c>
      <c r="AF299">
        <v>25.00000000000006</v>
      </c>
      <c r="AG299">
        <v>21.874999999999879</v>
      </c>
      <c r="AH299">
        <v>25.00000000000006</v>
      </c>
      <c r="AI299">
        <v>27.08333333333351</v>
      </c>
      <c r="AK299">
        <v>82.03125</v>
      </c>
      <c r="AL299">
        <v>78.125</v>
      </c>
      <c r="AM299">
        <v>74.21875</v>
      </c>
      <c r="AN299">
        <v>132.8125</v>
      </c>
      <c r="AO299">
        <v>21.875</v>
      </c>
      <c r="AP299">
        <v>20.833333333333339</v>
      </c>
      <c r="AQ299">
        <v>19.791666666666661</v>
      </c>
      <c r="AR299">
        <v>35.416666666666671</v>
      </c>
    </row>
    <row r="300" spans="1:44" ht="31" x14ac:dyDescent="0.35">
      <c r="J300" s="26"/>
    </row>
    <row r="301" spans="1:44" ht="31" x14ac:dyDescent="0.35">
      <c r="J301" s="9" t="s">
        <v>77</v>
      </c>
      <c r="K301" s="10"/>
      <c r="L301" s="10"/>
      <c r="M301" s="10"/>
      <c r="N301" s="10"/>
      <c r="O301" s="10"/>
      <c r="P301" s="10"/>
      <c r="Q301" s="10"/>
      <c r="S301" s="1" t="s">
        <v>109</v>
      </c>
      <c r="T301" s="2"/>
      <c r="U301" s="2"/>
      <c r="V301" s="2"/>
      <c r="W301" s="2"/>
      <c r="X301" s="2"/>
      <c r="Y301" s="2"/>
      <c r="Z301" s="2"/>
      <c r="AK301" s="16" t="s">
        <v>156</v>
      </c>
      <c r="AL301" s="17"/>
      <c r="AM301" s="17"/>
      <c r="AN301" s="17"/>
      <c r="AO301" s="17"/>
      <c r="AP301" s="17"/>
      <c r="AQ301" s="18"/>
      <c r="AR301" s="17"/>
    </row>
    <row r="302" spans="1:44" ht="31" x14ac:dyDescent="0.35">
      <c r="J302" s="3" t="s">
        <v>2</v>
      </c>
      <c r="N302" s="23" t="s">
        <v>18</v>
      </c>
      <c r="O302" s="6" t="s">
        <v>78</v>
      </c>
      <c r="P302" s="6"/>
      <c r="Q302" s="6"/>
      <c r="S302" s="3" t="s">
        <v>2</v>
      </c>
      <c r="W302" s="23" t="s">
        <v>18</v>
      </c>
      <c r="X302" s="24" t="s">
        <v>108</v>
      </c>
      <c r="AK302" s="3" t="s">
        <v>2</v>
      </c>
      <c r="AO302" s="6" t="s">
        <v>3</v>
      </c>
      <c r="AP302" s="6" t="s">
        <v>137</v>
      </c>
      <c r="AQ302" s="6"/>
      <c r="AR302" s="6"/>
    </row>
    <row r="303" spans="1:44" x14ac:dyDescent="0.2">
      <c r="J303" s="7">
        <v>1</v>
      </c>
      <c r="K303" s="6">
        <v>2</v>
      </c>
      <c r="L303" s="6">
        <v>3</v>
      </c>
      <c r="M303" s="6">
        <v>4</v>
      </c>
      <c r="N303" s="7">
        <v>1</v>
      </c>
      <c r="O303" s="6">
        <v>2</v>
      </c>
      <c r="P303" s="6">
        <v>3</v>
      </c>
      <c r="Q303" s="6">
        <v>4</v>
      </c>
      <c r="S303" s="7">
        <v>1</v>
      </c>
      <c r="T303" s="6">
        <v>2</v>
      </c>
      <c r="U303" s="6">
        <v>3</v>
      </c>
      <c r="V303" s="6">
        <v>4</v>
      </c>
      <c r="W303" s="7">
        <v>1</v>
      </c>
      <c r="X303" s="6">
        <v>2</v>
      </c>
      <c r="Y303" s="6">
        <v>3</v>
      </c>
      <c r="Z303" s="6">
        <v>4</v>
      </c>
      <c r="AK303" s="7">
        <v>1</v>
      </c>
      <c r="AL303" s="6">
        <v>2</v>
      </c>
      <c r="AM303" s="6">
        <v>3</v>
      </c>
      <c r="AN303" s="6">
        <v>4</v>
      </c>
      <c r="AO303" s="7">
        <v>1</v>
      </c>
      <c r="AP303" s="6">
        <v>2</v>
      </c>
      <c r="AQ303" s="6">
        <v>3</v>
      </c>
      <c r="AR303" s="6">
        <v>4</v>
      </c>
    </row>
    <row r="304" spans="1:44" x14ac:dyDescent="0.2">
      <c r="J304">
        <v>167.95657314844681</v>
      </c>
      <c r="K304">
        <v>147.80178437063319</v>
      </c>
      <c r="L304">
        <v>167.95657314844681</v>
      </c>
      <c r="M304">
        <v>181.39309900032251</v>
      </c>
      <c r="N304">
        <v>26.041666666666671</v>
      </c>
      <c r="O304">
        <v>22.916666666666671</v>
      </c>
      <c r="P304">
        <v>26.041666666666671</v>
      </c>
      <c r="Q304">
        <v>28.125000000000011</v>
      </c>
      <c r="S304">
        <v>132.40356606937951</v>
      </c>
      <c r="T304">
        <v>115.853120310707</v>
      </c>
      <c r="U304">
        <v>143.4371965751611</v>
      </c>
      <c r="V304">
        <v>132.40356606937939</v>
      </c>
      <c r="W304">
        <v>24.999999999999989</v>
      </c>
      <c r="X304">
        <v>21.875</v>
      </c>
      <c r="Y304">
        <v>27.083333333333329</v>
      </c>
      <c r="Z304">
        <v>24.999999999999979</v>
      </c>
      <c r="AK304">
        <v>91.666666666666671</v>
      </c>
      <c r="AL304">
        <v>91.666666666666671</v>
      </c>
      <c r="AM304">
        <v>83.333333333333343</v>
      </c>
      <c r="AN304">
        <v>141.66666666666671</v>
      </c>
      <c r="AO304">
        <v>22.916666666666671</v>
      </c>
      <c r="AP304">
        <v>22.916666666666671</v>
      </c>
      <c r="AQ304">
        <v>20.833333333333339</v>
      </c>
      <c r="AR304">
        <v>35.416666666666671</v>
      </c>
    </row>
    <row r="305" spans="10:44" x14ac:dyDescent="0.2">
      <c r="J305">
        <v>141.08352144469529</v>
      </c>
      <c r="K305">
        <v>154.52004729657111</v>
      </c>
      <c r="L305">
        <v>174.6748360743845</v>
      </c>
      <c r="M305">
        <v>167.95657314844681</v>
      </c>
      <c r="N305">
        <v>21.875000000000011</v>
      </c>
      <c r="O305">
        <v>23.95833333333335</v>
      </c>
      <c r="P305">
        <v>27.083333333333321</v>
      </c>
      <c r="Q305">
        <v>26.041666666666671</v>
      </c>
      <c r="S305">
        <v>126.8867508164886</v>
      </c>
      <c r="T305">
        <v>126.8867508164886</v>
      </c>
      <c r="U305">
        <v>148.9540118280519</v>
      </c>
      <c r="V305">
        <v>137.9203813222704</v>
      </c>
      <c r="W305">
        <v>23.958333333333329</v>
      </c>
      <c r="X305">
        <v>23.958333333333329</v>
      </c>
      <c r="Y305">
        <v>28.124999999999989</v>
      </c>
      <c r="Z305">
        <v>26.041666666666679</v>
      </c>
      <c r="AK305">
        <v>87.5</v>
      </c>
      <c r="AL305">
        <v>83.333333333333371</v>
      </c>
      <c r="AM305">
        <v>125</v>
      </c>
      <c r="AN305">
        <v>100</v>
      </c>
      <c r="AO305">
        <v>21.875</v>
      </c>
      <c r="AP305">
        <v>20.833333333333339</v>
      </c>
      <c r="AQ305">
        <v>31.25</v>
      </c>
      <c r="AR305">
        <v>25</v>
      </c>
    </row>
    <row r="306" spans="10:44" x14ac:dyDescent="0.2">
      <c r="J306">
        <v>147.80178437063319</v>
      </c>
      <c r="K306">
        <v>154.52004729657099</v>
      </c>
      <c r="L306">
        <v>174.6748360743845</v>
      </c>
      <c r="M306">
        <v>167.95657314844681</v>
      </c>
      <c r="N306">
        <v>22.916666666666671</v>
      </c>
      <c r="O306">
        <v>23.958333333333329</v>
      </c>
      <c r="P306">
        <v>27.083333333333321</v>
      </c>
      <c r="Q306">
        <v>26.041666666666671</v>
      </c>
      <c r="S306">
        <v>126.8867508164885</v>
      </c>
      <c r="T306">
        <v>121.36993556359791</v>
      </c>
      <c r="U306">
        <v>132.40356606937939</v>
      </c>
      <c r="V306">
        <v>154.4708270809426</v>
      </c>
      <c r="W306">
        <v>23.958333333333311</v>
      </c>
      <c r="X306">
        <v>22.916666666666671</v>
      </c>
      <c r="Y306">
        <v>24.999999999999979</v>
      </c>
      <c r="Z306">
        <v>29.16666666666665</v>
      </c>
      <c r="AK306">
        <v>100</v>
      </c>
      <c r="AL306">
        <v>95.833333333333371</v>
      </c>
      <c r="AM306">
        <v>70.833333333333371</v>
      </c>
      <c r="AN306">
        <v>129.16666666666671</v>
      </c>
      <c r="AO306">
        <v>25</v>
      </c>
      <c r="AP306">
        <v>23.958333333333339</v>
      </c>
      <c r="AQ306">
        <v>17.708333333333339</v>
      </c>
      <c r="AR306">
        <v>32.291666666666693</v>
      </c>
    </row>
    <row r="307" spans="10:44" x14ac:dyDescent="0.2">
      <c r="J307">
        <v>141.08352144469521</v>
      </c>
      <c r="K307">
        <v>154.52004729657119</v>
      </c>
      <c r="L307">
        <v>174.6748360743845</v>
      </c>
      <c r="M307">
        <v>181.39309900032231</v>
      </c>
      <c r="N307">
        <v>21.874999999999989</v>
      </c>
      <c r="O307">
        <v>23.958333333333361</v>
      </c>
      <c r="P307">
        <v>27.083333333333321</v>
      </c>
      <c r="Q307">
        <v>28.124999999999979</v>
      </c>
      <c r="S307">
        <v>115.853120310707</v>
      </c>
      <c r="T307">
        <v>132.40356606937939</v>
      </c>
      <c r="U307">
        <v>137.92038132227029</v>
      </c>
      <c r="V307">
        <v>132.40356606937959</v>
      </c>
      <c r="W307">
        <v>21.875</v>
      </c>
      <c r="X307">
        <v>24.999999999999979</v>
      </c>
      <c r="Y307">
        <v>26.041666666666661</v>
      </c>
      <c r="Z307">
        <v>25.000000000000028</v>
      </c>
      <c r="AK307">
        <v>95.833333333333258</v>
      </c>
      <c r="AL307">
        <v>95.833333333333258</v>
      </c>
      <c r="AM307">
        <v>75</v>
      </c>
      <c r="AN307">
        <v>133.33333333333329</v>
      </c>
      <c r="AO307">
        <v>23.958333333333311</v>
      </c>
      <c r="AP307">
        <v>23.958333333333311</v>
      </c>
      <c r="AQ307">
        <v>18.75</v>
      </c>
      <c r="AR307">
        <v>33.333333333333307</v>
      </c>
    </row>
    <row r="308" spans="10:44" x14ac:dyDescent="0.2">
      <c r="J308">
        <v>141.08352144469521</v>
      </c>
      <c r="K308">
        <v>154.52004729657119</v>
      </c>
      <c r="L308">
        <v>174.6748360743845</v>
      </c>
      <c r="M308">
        <v>174.6748360743845</v>
      </c>
      <c r="N308">
        <v>21.874999999999989</v>
      </c>
      <c r="O308">
        <v>23.958333333333361</v>
      </c>
      <c r="P308">
        <v>27.083333333333321</v>
      </c>
      <c r="Q308">
        <v>27.083333333333321</v>
      </c>
      <c r="S308">
        <v>88.26904404625293</v>
      </c>
      <c r="T308">
        <v>132.40356606937939</v>
      </c>
      <c r="U308">
        <v>171.02127283961499</v>
      </c>
      <c r="V308">
        <v>132.40356606937939</v>
      </c>
      <c r="W308">
        <v>16.666666666666661</v>
      </c>
      <c r="X308">
        <v>24.999999999999979</v>
      </c>
      <c r="Y308">
        <v>32.291666666666629</v>
      </c>
      <c r="Z308">
        <v>24.999999999999979</v>
      </c>
      <c r="AK308">
        <v>91.666666666666742</v>
      </c>
      <c r="AL308">
        <v>91.666666666666742</v>
      </c>
      <c r="AM308">
        <v>83.333333333333258</v>
      </c>
      <c r="AN308">
        <v>141.66666666666671</v>
      </c>
      <c r="AO308">
        <v>22.916666666666689</v>
      </c>
      <c r="AP308">
        <v>22.916666666666689</v>
      </c>
      <c r="AQ308">
        <v>20.833333333333311</v>
      </c>
      <c r="AR308">
        <v>35.416666666666693</v>
      </c>
    </row>
    <row r="309" spans="10:44" x14ac:dyDescent="0.2">
      <c r="J309">
        <v>147.80178437063299</v>
      </c>
      <c r="K309">
        <v>141.08352144469521</v>
      </c>
      <c r="L309">
        <v>174.6748360743845</v>
      </c>
      <c r="M309">
        <v>181.39309900032231</v>
      </c>
      <c r="N309">
        <v>22.916666666666639</v>
      </c>
      <c r="O309">
        <v>21.874999999999989</v>
      </c>
      <c r="P309">
        <v>27.083333333333321</v>
      </c>
      <c r="Q309">
        <v>28.124999999999979</v>
      </c>
      <c r="S309">
        <v>115.8531203107073</v>
      </c>
      <c r="T309">
        <v>137.92038132227029</v>
      </c>
      <c r="U309">
        <v>132.40356606937939</v>
      </c>
      <c r="V309">
        <v>148.95401182805199</v>
      </c>
      <c r="W309">
        <v>21.875000000000039</v>
      </c>
      <c r="X309">
        <v>26.041666666666661</v>
      </c>
      <c r="Y309">
        <v>24.999999999999979</v>
      </c>
      <c r="Z309">
        <v>28.125000000000011</v>
      </c>
      <c r="AK309">
        <v>87.5</v>
      </c>
      <c r="AL309">
        <v>79.166666666666515</v>
      </c>
      <c r="AM309">
        <v>116.6666666666665</v>
      </c>
      <c r="AN309">
        <v>120.8333333333335</v>
      </c>
      <c r="AO309">
        <v>21.875</v>
      </c>
      <c r="AP309">
        <v>19.791666666666629</v>
      </c>
      <c r="AQ309">
        <v>29.166666666666629</v>
      </c>
      <c r="AR309">
        <v>30.208333333333371</v>
      </c>
    </row>
    <row r="310" spans="10:44" x14ac:dyDescent="0.2">
      <c r="J310">
        <v>134.3652585187574</v>
      </c>
      <c r="K310">
        <v>161.23831022250849</v>
      </c>
      <c r="L310">
        <v>167.95657314844721</v>
      </c>
      <c r="M310">
        <v>161.23831022250849</v>
      </c>
      <c r="N310">
        <v>20.833333333333339</v>
      </c>
      <c r="O310">
        <v>24.99999999999995</v>
      </c>
      <c r="P310">
        <v>26.041666666666739</v>
      </c>
      <c r="Q310">
        <v>24.99999999999995</v>
      </c>
      <c r="S310">
        <v>110.3363050578164</v>
      </c>
      <c r="T310">
        <v>154.47082708094291</v>
      </c>
      <c r="U310">
        <v>115.8531203107068</v>
      </c>
      <c r="V310">
        <v>159.98764233383369</v>
      </c>
      <c r="W310">
        <v>20.833333333333361</v>
      </c>
      <c r="X310">
        <v>29.166666666666689</v>
      </c>
      <c r="Y310">
        <v>21.87499999999995</v>
      </c>
      <c r="Z310">
        <v>30.208333333333371</v>
      </c>
      <c r="AK310">
        <v>95.833333333333485</v>
      </c>
      <c r="AL310">
        <v>95.833333333333485</v>
      </c>
      <c r="AM310">
        <v>70.833333333333485</v>
      </c>
      <c r="AN310">
        <v>125</v>
      </c>
      <c r="AO310">
        <v>23.958333333333371</v>
      </c>
      <c r="AP310">
        <v>23.958333333333371</v>
      </c>
      <c r="AQ310">
        <v>17.708333333333371</v>
      </c>
      <c r="AR310">
        <v>31.25</v>
      </c>
    </row>
    <row r="311" spans="10:44" x14ac:dyDescent="0.2">
      <c r="J311">
        <v>147.80178437063299</v>
      </c>
      <c r="K311">
        <v>161.23831022250849</v>
      </c>
      <c r="L311">
        <v>174.67483607438501</v>
      </c>
      <c r="M311">
        <v>181.39309900032279</v>
      </c>
      <c r="N311">
        <v>22.916666666666639</v>
      </c>
      <c r="O311">
        <v>24.99999999999995</v>
      </c>
      <c r="P311">
        <v>27.083333333333389</v>
      </c>
      <c r="Q311">
        <v>28.12500000000005</v>
      </c>
      <c r="S311">
        <v>104.8194898049255</v>
      </c>
      <c r="T311">
        <v>143.4371965751611</v>
      </c>
      <c r="U311">
        <v>121.36993556359771</v>
      </c>
      <c r="V311">
        <v>148.95401182805151</v>
      </c>
      <c r="W311">
        <v>19.791666666666689</v>
      </c>
      <c r="X311">
        <v>27.083333333333339</v>
      </c>
      <c r="Y311">
        <v>22.916666666666629</v>
      </c>
      <c r="Z311">
        <v>28.124999999999929</v>
      </c>
      <c r="AK311">
        <v>104.1666666666665</v>
      </c>
      <c r="AL311">
        <v>100</v>
      </c>
      <c r="AM311">
        <v>66.666666666666515</v>
      </c>
      <c r="AN311">
        <v>129.16666666666649</v>
      </c>
      <c r="AO311">
        <v>26.041666666666629</v>
      </c>
      <c r="AP311">
        <v>25</v>
      </c>
      <c r="AQ311">
        <v>16.666666666666629</v>
      </c>
      <c r="AR311">
        <v>32.291666666666629</v>
      </c>
    </row>
    <row r="312" spans="10:44" x14ac:dyDescent="0.2">
      <c r="J312">
        <v>134.3652585187574</v>
      </c>
      <c r="K312">
        <v>161.23831022250849</v>
      </c>
      <c r="L312">
        <v>167.9565731484463</v>
      </c>
      <c r="M312">
        <v>181.39309900032279</v>
      </c>
      <c r="N312">
        <v>20.833333333333339</v>
      </c>
      <c r="O312">
        <v>24.99999999999995</v>
      </c>
      <c r="P312">
        <v>26.0416666666666</v>
      </c>
      <c r="Q312">
        <v>28.12500000000005</v>
      </c>
      <c r="S312">
        <v>126.8867508164885</v>
      </c>
      <c r="T312">
        <v>115.8531203107068</v>
      </c>
      <c r="U312">
        <v>148.95401182805199</v>
      </c>
      <c r="V312">
        <v>132.40356606937979</v>
      </c>
      <c r="W312">
        <v>23.958333333333311</v>
      </c>
      <c r="X312">
        <v>21.87499999999995</v>
      </c>
      <c r="Y312">
        <v>28.125000000000011</v>
      </c>
      <c r="Z312">
        <v>25.000000000000071</v>
      </c>
      <c r="AK312">
        <v>91.666666666666515</v>
      </c>
      <c r="AL312">
        <v>91.666666666666515</v>
      </c>
      <c r="AM312">
        <v>83.333333333333485</v>
      </c>
      <c r="AN312">
        <v>141.66666666666649</v>
      </c>
      <c r="AO312">
        <v>22.916666666666629</v>
      </c>
      <c r="AP312">
        <v>22.916666666666629</v>
      </c>
      <c r="AQ312">
        <v>20.833333333333371</v>
      </c>
      <c r="AR312">
        <v>35.416666666666629</v>
      </c>
    </row>
    <row r="313" spans="10:44" x14ac:dyDescent="0.2">
      <c r="J313">
        <v>161.23831022250849</v>
      </c>
      <c r="K313">
        <v>127.64699559281959</v>
      </c>
      <c r="L313">
        <v>174.67483607438501</v>
      </c>
      <c r="M313">
        <v>181.39309900032279</v>
      </c>
      <c r="N313">
        <v>24.99999999999995</v>
      </c>
      <c r="O313">
        <v>19.791666666666679</v>
      </c>
      <c r="P313">
        <v>27.083333333333389</v>
      </c>
      <c r="Q313">
        <v>28.12500000000005</v>
      </c>
      <c r="S313">
        <v>121.3699355635981</v>
      </c>
      <c r="T313">
        <v>137.92038132227029</v>
      </c>
      <c r="U313">
        <v>137.92038132227029</v>
      </c>
      <c r="V313">
        <v>132.40356606937979</v>
      </c>
      <c r="W313">
        <v>22.916666666666721</v>
      </c>
      <c r="X313">
        <v>26.041666666666661</v>
      </c>
      <c r="Y313">
        <v>26.041666666666661</v>
      </c>
      <c r="Z313">
        <v>25.000000000000071</v>
      </c>
      <c r="AK313">
        <v>87.5</v>
      </c>
      <c r="AL313">
        <v>83.333333333333485</v>
      </c>
      <c r="AM313">
        <v>112.5</v>
      </c>
      <c r="AN313">
        <v>112.5</v>
      </c>
      <c r="AO313">
        <v>21.875</v>
      </c>
      <c r="AP313">
        <v>20.833333333333371</v>
      </c>
      <c r="AQ313">
        <v>28.125</v>
      </c>
      <c r="AR313">
        <v>28.125</v>
      </c>
    </row>
    <row r="314" spans="10:44" x14ac:dyDescent="0.2">
      <c r="J314">
        <v>141.08352144469521</v>
      </c>
      <c r="K314">
        <v>147.80178437063299</v>
      </c>
      <c r="L314">
        <v>174.67483607438501</v>
      </c>
      <c r="M314">
        <v>167.95657314844721</v>
      </c>
      <c r="N314">
        <v>21.874999999999989</v>
      </c>
      <c r="O314">
        <v>22.916666666666639</v>
      </c>
      <c r="P314">
        <v>27.083333333333389</v>
      </c>
      <c r="Q314">
        <v>26.041666666666739</v>
      </c>
      <c r="S314">
        <v>121.3699355635981</v>
      </c>
      <c r="T314">
        <v>148.95401182805199</v>
      </c>
      <c r="U314">
        <v>121.3699355635981</v>
      </c>
      <c r="V314">
        <v>159.98764233383369</v>
      </c>
      <c r="W314">
        <v>22.916666666666721</v>
      </c>
      <c r="X314">
        <v>28.125000000000011</v>
      </c>
      <c r="Y314">
        <v>22.916666666666721</v>
      </c>
      <c r="Z314">
        <v>30.208333333333371</v>
      </c>
      <c r="AK314">
        <v>99.999999999999545</v>
      </c>
      <c r="AL314">
        <v>95.83333333333303</v>
      </c>
      <c r="AM314">
        <v>70.83333333333303</v>
      </c>
      <c r="AN314">
        <v>129.166666666667</v>
      </c>
      <c r="AO314">
        <v>24.99999999999989</v>
      </c>
      <c r="AP314">
        <v>23.958333333333261</v>
      </c>
      <c r="AQ314">
        <v>17.708333333333261</v>
      </c>
      <c r="AR314">
        <v>32.291666666666742</v>
      </c>
    </row>
    <row r="315" spans="10:44" x14ac:dyDescent="0.2">
      <c r="J315">
        <v>147.80178437063299</v>
      </c>
      <c r="K315">
        <v>154.52004729657071</v>
      </c>
      <c r="L315">
        <v>167.9565731484463</v>
      </c>
      <c r="M315">
        <v>174.67483607438501</v>
      </c>
      <c r="N315">
        <v>22.916666666666639</v>
      </c>
      <c r="O315">
        <v>23.95833333333329</v>
      </c>
      <c r="P315">
        <v>26.0416666666666</v>
      </c>
      <c r="Q315">
        <v>27.083333333333389</v>
      </c>
      <c r="S315">
        <v>93.78585929914334</v>
      </c>
      <c r="T315">
        <v>154.4708270809424</v>
      </c>
      <c r="U315">
        <v>115.8531203107068</v>
      </c>
      <c r="V315">
        <v>148.95401182805199</v>
      </c>
      <c r="W315">
        <v>17.70833333333325</v>
      </c>
      <c r="X315">
        <v>29.1666666666666</v>
      </c>
      <c r="Y315">
        <v>21.87499999999995</v>
      </c>
      <c r="Z315">
        <v>28.125000000000011</v>
      </c>
      <c r="AK315">
        <v>95.83333333333303</v>
      </c>
      <c r="AL315">
        <v>95.83333333333303</v>
      </c>
      <c r="AM315">
        <v>75</v>
      </c>
      <c r="AN315">
        <v>133.333333333333</v>
      </c>
      <c r="AO315">
        <v>23.958333333333261</v>
      </c>
      <c r="AP315">
        <v>23.958333333333261</v>
      </c>
      <c r="AQ315">
        <v>18.75</v>
      </c>
      <c r="AR315">
        <v>33.333333333333258</v>
      </c>
    </row>
    <row r="316" spans="10:44" x14ac:dyDescent="0.2">
      <c r="J316">
        <v>147.80178437063299</v>
      </c>
      <c r="K316">
        <v>154.52004729657071</v>
      </c>
      <c r="L316">
        <v>167.95657314844721</v>
      </c>
      <c r="M316">
        <v>181.39309900032279</v>
      </c>
      <c r="N316">
        <v>22.916666666666639</v>
      </c>
      <c r="O316">
        <v>23.95833333333329</v>
      </c>
      <c r="P316">
        <v>26.041666666666739</v>
      </c>
      <c r="Q316">
        <v>28.12500000000005</v>
      </c>
      <c r="S316">
        <v>137.92038132227029</v>
      </c>
      <c r="T316">
        <v>104.8194898049251</v>
      </c>
      <c r="U316">
        <v>154.4708270809424</v>
      </c>
      <c r="V316">
        <v>137.92038132227029</v>
      </c>
      <c r="W316">
        <v>26.041666666666661</v>
      </c>
      <c r="X316">
        <v>19.7916666666666</v>
      </c>
      <c r="Y316">
        <v>29.1666666666666</v>
      </c>
      <c r="Z316">
        <v>26.041666666666661</v>
      </c>
      <c r="AK316">
        <v>91.66666666666697</v>
      </c>
      <c r="AL316">
        <v>91.66666666666697</v>
      </c>
      <c r="AM316">
        <v>83.33333333333303</v>
      </c>
      <c r="AN316">
        <v>141.666666666667</v>
      </c>
      <c r="AO316">
        <v>22.916666666666739</v>
      </c>
      <c r="AP316">
        <v>22.916666666666739</v>
      </c>
      <c r="AQ316">
        <v>20.833333333333261</v>
      </c>
      <c r="AR316">
        <v>35.416666666666742</v>
      </c>
    </row>
    <row r="317" spans="10:44" x14ac:dyDescent="0.2">
      <c r="J317">
        <v>174.6748360743841</v>
      </c>
      <c r="K317">
        <v>120.9287326668818</v>
      </c>
      <c r="L317">
        <v>167.95657314844721</v>
      </c>
      <c r="M317">
        <v>188.1113619262596</v>
      </c>
      <c r="N317">
        <v>27.08333333333325</v>
      </c>
      <c r="O317">
        <v>18.750000000000028</v>
      </c>
      <c r="P317">
        <v>26.041666666666739</v>
      </c>
      <c r="Q317">
        <v>29.166666666666561</v>
      </c>
      <c r="S317">
        <v>99.302674552034659</v>
      </c>
      <c r="T317">
        <v>154.4708270809424</v>
      </c>
      <c r="U317">
        <v>126.8867508164885</v>
      </c>
      <c r="V317">
        <v>143.4371965751607</v>
      </c>
      <c r="W317">
        <v>18.750000000000011</v>
      </c>
      <c r="X317">
        <v>29.1666666666666</v>
      </c>
      <c r="Y317">
        <v>23.958333333333311</v>
      </c>
      <c r="Z317">
        <v>27.08333333333325</v>
      </c>
      <c r="AK317">
        <v>87.5</v>
      </c>
      <c r="AL317">
        <v>79.16666666666697</v>
      </c>
      <c r="AM317">
        <v>116.666666666667</v>
      </c>
      <c r="AN317">
        <v>120.833333333333</v>
      </c>
      <c r="AO317">
        <v>21.875</v>
      </c>
      <c r="AP317">
        <v>19.791666666666739</v>
      </c>
      <c r="AQ317">
        <v>29.166666666666739</v>
      </c>
      <c r="AR317">
        <v>30.208333333333261</v>
      </c>
    </row>
    <row r="318" spans="10:44" x14ac:dyDescent="0.2">
      <c r="J318">
        <v>147.80178437063299</v>
      </c>
      <c r="K318">
        <v>154.52004729657159</v>
      </c>
      <c r="L318">
        <v>161.23831022250849</v>
      </c>
      <c r="M318">
        <v>167.95657314844721</v>
      </c>
      <c r="N318">
        <v>22.916666666666639</v>
      </c>
      <c r="O318">
        <v>23.958333333333439</v>
      </c>
      <c r="P318">
        <v>24.99999999999995</v>
      </c>
      <c r="Q318">
        <v>26.041666666666739</v>
      </c>
      <c r="S318">
        <v>121.3699355635981</v>
      </c>
      <c r="T318">
        <v>137.92038132227029</v>
      </c>
      <c r="U318">
        <v>143.4371965751607</v>
      </c>
      <c r="V318">
        <v>132.40356606937979</v>
      </c>
      <c r="W318">
        <v>22.916666666666721</v>
      </c>
      <c r="X318">
        <v>26.041666666666661</v>
      </c>
      <c r="Y318">
        <v>27.08333333333325</v>
      </c>
      <c r="Z318">
        <v>25.000000000000071</v>
      </c>
      <c r="AK318">
        <v>95.83333333333303</v>
      </c>
      <c r="AL318">
        <v>95.83333333333303</v>
      </c>
      <c r="AM318">
        <v>70.83333333333303</v>
      </c>
      <c r="AN318">
        <v>125</v>
      </c>
      <c r="AO318">
        <v>23.958333333333261</v>
      </c>
      <c r="AP318">
        <v>23.958333333333261</v>
      </c>
      <c r="AQ318">
        <v>17.708333333333261</v>
      </c>
      <c r="AR318">
        <v>31.25</v>
      </c>
    </row>
    <row r="319" spans="10:44" x14ac:dyDescent="0.2">
      <c r="J319">
        <v>147.80178437063299</v>
      </c>
      <c r="K319">
        <v>154.52004729657159</v>
      </c>
      <c r="L319">
        <v>174.6748360743841</v>
      </c>
      <c r="M319">
        <v>161.23831022250849</v>
      </c>
      <c r="N319">
        <v>22.916666666666639</v>
      </c>
      <c r="O319">
        <v>23.958333333333439</v>
      </c>
      <c r="P319">
        <v>27.08333333333325</v>
      </c>
      <c r="Q319">
        <v>24.99999999999995</v>
      </c>
      <c r="S319">
        <v>132.40356606937979</v>
      </c>
      <c r="T319">
        <v>132.40356606937891</v>
      </c>
      <c r="U319">
        <v>110.33630505781549</v>
      </c>
      <c r="V319">
        <v>148.95401182805469</v>
      </c>
      <c r="W319">
        <v>25.000000000000071</v>
      </c>
      <c r="X319">
        <v>24.999999999999901</v>
      </c>
      <c r="Y319">
        <v>20.83333333333319</v>
      </c>
      <c r="Z319">
        <v>28.125000000000529</v>
      </c>
      <c r="AK319">
        <v>104.166666666667</v>
      </c>
      <c r="AL319">
        <v>100</v>
      </c>
      <c r="AM319">
        <v>66.66666666666697</v>
      </c>
      <c r="AN319">
        <v>129.16666666666791</v>
      </c>
      <c r="AO319">
        <v>26.041666666666739</v>
      </c>
      <c r="AP319">
        <v>25</v>
      </c>
      <c r="AQ319">
        <v>16.666666666666739</v>
      </c>
      <c r="AR319">
        <v>32.29166666666697</v>
      </c>
    </row>
    <row r="320" spans="10:44" ht="31" x14ac:dyDescent="0.35">
      <c r="J320" s="26"/>
    </row>
    <row r="321" spans="10:44" ht="31" x14ac:dyDescent="0.35">
      <c r="J321" s="9" t="s">
        <v>79</v>
      </c>
      <c r="K321" s="10"/>
      <c r="L321" s="10"/>
      <c r="M321" s="10"/>
      <c r="N321" s="10"/>
      <c r="O321" s="10"/>
      <c r="P321" s="10"/>
      <c r="Q321" s="10"/>
      <c r="S321" s="1" t="s">
        <v>110</v>
      </c>
      <c r="T321" s="2"/>
      <c r="U321" s="2"/>
      <c r="V321" s="2"/>
      <c r="W321" s="2"/>
      <c r="X321" s="2"/>
      <c r="Y321" s="2"/>
      <c r="Z321" s="2"/>
      <c r="AK321" s="16" t="s">
        <v>157</v>
      </c>
      <c r="AL321" s="17"/>
      <c r="AM321" s="17"/>
      <c r="AN321" s="17"/>
      <c r="AO321" s="17"/>
      <c r="AP321" s="17"/>
      <c r="AQ321" s="18"/>
      <c r="AR321" s="17"/>
    </row>
    <row r="322" spans="10:44" ht="31" x14ac:dyDescent="0.35">
      <c r="J322" s="3" t="s">
        <v>2</v>
      </c>
      <c r="N322" s="23" t="s">
        <v>18</v>
      </c>
      <c r="O322" s="6" t="s">
        <v>80</v>
      </c>
      <c r="P322" s="6"/>
      <c r="Q322" s="6"/>
      <c r="S322" s="3" t="s">
        <v>2</v>
      </c>
      <c r="W322" s="23" t="s">
        <v>18</v>
      </c>
      <c r="X322" s="24" t="s">
        <v>111</v>
      </c>
      <c r="AK322" s="3" t="s">
        <v>2</v>
      </c>
      <c r="AO322" s="6" t="s">
        <v>3</v>
      </c>
      <c r="AP322" s="6" t="s">
        <v>144</v>
      </c>
      <c r="AQ322" s="6"/>
      <c r="AR322" s="6"/>
    </row>
    <row r="323" spans="10:44" x14ac:dyDescent="0.2">
      <c r="J323" s="7">
        <v>1</v>
      </c>
      <c r="K323" s="6">
        <v>2</v>
      </c>
      <c r="L323" s="6">
        <v>3</v>
      </c>
      <c r="M323" s="6">
        <v>4</v>
      </c>
      <c r="N323" s="7">
        <v>1</v>
      </c>
      <c r="O323" s="6">
        <v>2</v>
      </c>
      <c r="P323" s="6">
        <v>3</v>
      </c>
      <c r="Q323" s="6">
        <v>4</v>
      </c>
      <c r="S323" s="7">
        <v>1</v>
      </c>
      <c r="T323" s="6">
        <v>2</v>
      </c>
      <c r="U323" s="6">
        <v>3</v>
      </c>
      <c r="V323" s="6">
        <v>4</v>
      </c>
      <c r="W323" s="7">
        <v>1</v>
      </c>
      <c r="X323" s="6">
        <v>2</v>
      </c>
      <c r="Y323" s="6">
        <v>3</v>
      </c>
      <c r="Z323" s="6">
        <v>4</v>
      </c>
      <c r="AK323" s="7">
        <v>1</v>
      </c>
      <c r="AL323" s="6">
        <v>2</v>
      </c>
      <c r="AM323" s="6">
        <v>3</v>
      </c>
      <c r="AN323" s="6">
        <v>4</v>
      </c>
      <c r="AO323" s="7">
        <v>1</v>
      </c>
      <c r="AP323" s="6">
        <v>2</v>
      </c>
      <c r="AQ323" s="6">
        <v>3</v>
      </c>
      <c r="AR323" s="6">
        <v>4</v>
      </c>
    </row>
    <row r="324" spans="10:44" x14ac:dyDescent="0.2">
      <c r="J324">
        <v>153.11804008908689</v>
      </c>
      <c r="K324">
        <v>153.11804008908689</v>
      </c>
      <c r="L324">
        <v>180.95768374164811</v>
      </c>
      <c r="M324">
        <v>167.0378619153675</v>
      </c>
      <c r="N324">
        <v>22.916666666666671</v>
      </c>
      <c r="O324">
        <v>22.916666666666671</v>
      </c>
      <c r="P324">
        <v>27.083333333333339</v>
      </c>
      <c r="Q324">
        <v>25</v>
      </c>
      <c r="S324">
        <v>99.854756717501829</v>
      </c>
      <c r="T324">
        <v>90.777051561365312</v>
      </c>
      <c r="U324">
        <v>131.62672476397969</v>
      </c>
      <c r="V324">
        <v>108.9324618736383</v>
      </c>
      <c r="W324">
        <v>22.916666666666671</v>
      </c>
      <c r="X324">
        <v>20.833333333333339</v>
      </c>
      <c r="Y324">
        <v>30.208333333333339</v>
      </c>
      <c r="Z324">
        <v>24.999999999999989</v>
      </c>
      <c r="AK324">
        <v>153.84615384615381</v>
      </c>
      <c r="AL324">
        <v>149.03846153846149</v>
      </c>
      <c r="AM324">
        <v>187.5</v>
      </c>
      <c r="AO324">
        <v>33.333333333333329</v>
      </c>
      <c r="AP324">
        <v>32.291666666666657</v>
      </c>
      <c r="AQ324">
        <v>40.625</v>
      </c>
    </row>
    <row r="325" spans="10:44" x14ac:dyDescent="0.2">
      <c r="J325">
        <v>160.07795100222711</v>
      </c>
      <c r="K325">
        <v>167.03786191536739</v>
      </c>
      <c r="L325">
        <v>173.99777282850769</v>
      </c>
      <c r="M325">
        <v>167.03786191536761</v>
      </c>
      <c r="N325">
        <v>23.958333333333329</v>
      </c>
      <c r="O325">
        <v>24.999999999999989</v>
      </c>
      <c r="P325">
        <v>26.04166666666665</v>
      </c>
      <c r="Q325">
        <v>25.000000000000011</v>
      </c>
      <c r="S325">
        <v>90.777051561365283</v>
      </c>
      <c r="T325">
        <v>108.9324618736383</v>
      </c>
      <c r="U325">
        <v>122.54901960784311</v>
      </c>
      <c r="V325">
        <v>118.01016702977481</v>
      </c>
      <c r="W325">
        <v>20.833333333333329</v>
      </c>
      <c r="X325">
        <v>24.999999999999989</v>
      </c>
      <c r="Y325">
        <v>28.124999999999989</v>
      </c>
      <c r="Z325">
        <v>27.083333333333329</v>
      </c>
      <c r="AK325">
        <v>153.84615384615381</v>
      </c>
      <c r="AL325">
        <v>144.2307692307692</v>
      </c>
      <c r="AM325">
        <v>144.23076923076931</v>
      </c>
      <c r="AO325">
        <v>33.333333333333329</v>
      </c>
      <c r="AP325">
        <v>31.249999999999989</v>
      </c>
      <c r="AQ325">
        <v>31.250000000000011</v>
      </c>
    </row>
    <row r="326" spans="10:44" x14ac:dyDescent="0.2">
      <c r="J326">
        <v>160.07795100222711</v>
      </c>
      <c r="K326">
        <v>173.99777282850781</v>
      </c>
      <c r="L326">
        <v>160.07795100222711</v>
      </c>
      <c r="M326">
        <v>173.99777282850781</v>
      </c>
      <c r="N326">
        <v>23.958333333333329</v>
      </c>
      <c r="O326">
        <v>26.041666666666661</v>
      </c>
      <c r="P326">
        <v>23.958333333333329</v>
      </c>
      <c r="Q326">
        <v>26.041666666666661</v>
      </c>
      <c r="S326">
        <v>108.9324618736383</v>
      </c>
      <c r="T326">
        <v>108.9324618736384</v>
      </c>
      <c r="U326">
        <v>99.854756717501914</v>
      </c>
      <c r="V326">
        <v>118.01016702977491</v>
      </c>
      <c r="W326">
        <v>24.999999999999989</v>
      </c>
      <c r="X326">
        <v>25.000000000000021</v>
      </c>
      <c r="Y326">
        <v>22.916666666666689</v>
      </c>
      <c r="Z326">
        <v>27.08333333333335</v>
      </c>
      <c r="AK326">
        <v>96.153846153846189</v>
      </c>
      <c r="AL326">
        <v>96.153846153846189</v>
      </c>
      <c r="AM326">
        <v>129.80769230769241</v>
      </c>
      <c r="AN326">
        <v>129.80769230769241</v>
      </c>
      <c r="AO326">
        <v>20.833333333333339</v>
      </c>
      <c r="AP326">
        <v>20.833333333333339</v>
      </c>
      <c r="AQ326">
        <v>28.125000000000021</v>
      </c>
      <c r="AR326">
        <v>28.125000000000021</v>
      </c>
    </row>
    <row r="327" spans="10:44" x14ac:dyDescent="0.2">
      <c r="J327">
        <v>160.07795100222711</v>
      </c>
      <c r="K327">
        <v>160.07795100222711</v>
      </c>
      <c r="L327">
        <v>180.957683741648</v>
      </c>
      <c r="M327">
        <v>160.07795100222711</v>
      </c>
      <c r="N327">
        <v>23.958333333333329</v>
      </c>
      <c r="O327">
        <v>23.958333333333329</v>
      </c>
      <c r="P327">
        <v>27.083333333333321</v>
      </c>
      <c r="Q327">
        <v>23.958333333333329</v>
      </c>
      <c r="S327">
        <v>90.777051561365397</v>
      </c>
      <c r="T327">
        <v>118.01016702977491</v>
      </c>
      <c r="U327">
        <v>99.854756717501914</v>
      </c>
      <c r="V327">
        <v>127.08787218591149</v>
      </c>
      <c r="W327">
        <v>20.833333333333361</v>
      </c>
      <c r="X327">
        <v>27.08333333333335</v>
      </c>
      <c r="Y327">
        <v>22.916666666666689</v>
      </c>
      <c r="Z327">
        <v>29.166666666666679</v>
      </c>
      <c r="AK327">
        <v>129.80769230769241</v>
      </c>
      <c r="AL327">
        <v>168.26923076923069</v>
      </c>
      <c r="AM327">
        <v>48.076923076923087</v>
      </c>
      <c r="AN327">
        <v>115.3846153846155</v>
      </c>
      <c r="AO327">
        <v>28.125000000000021</v>
      </c>
      <c r="AP327">
        <v>36.458333333333321</v>
      </c>
      <c r="AQ327">
        <v>10.41666666666667</v>
      </c>
      <c r="AR327">
        <v>25.000000000000021</v>
      </c>
    </row>
    <row r="328" spans="10:44" x14ac:dyDescent="0.2">
      <c r="J328">
        <v>167.03786191536761</v>
      </c>
      <c r="K328">
        <v>167.03786191536761</v>
      </c>
      <c r="L328">
        <v>167.03786191536761</v>
      </c>
      <c r="M328">
        <v>180.957683741648</v>
      </c>
      <c r="N328">
        <v>25.000000000000011</v>
      </c>
      <c r="O328">
        <v>25.000000000000011</v>
      </c>
      <c r="P328">
        <v>25.000000000000011</v>
      </c>
      <c r="Q328">
        <v>27.083333333333321</v>
      </c>
      <c r="S328">
        <v>99.854756717501914</v>
      </c>
      <c r="T328">
        <v>99.854756717501914</v>
      </c>
      <c r="U328">
        <v>122.54901960784311</v>
      </c>
      <c r="V328">
        <v>113.4713144517068</v>
      </c>
      <c r="W328">
        <v>22.916666666666689</v>
      </c>
      <c r="X328">
        <v>22.916666666666689</v>
      </c>
      <c r="Y328">
        <v>28.124999999999989</v>
      </c>
      <c r="Z328">
        <v>26.04166666666671</v>
      </c>
      <c r="AK328">
        <v>120.19230769230759</v>
      </c>
      <c r="AL328">
        <v>120.19230769230781</v>
      </c>
      <c r="AM328">
        <v>62.5</v>
      </c>
      <c r="AN328">
        <v>173.0769230769229</v>
      </c>
      <c r="AO328">
        <v>26.04166666666665</v>
      </c>
      <c r="AP328">
        <v>26.0416666666667</v>
      </c>
      <c r="AQ328">
        <v>13.54166666666667</v>
      </c>
      <c r="AR328">
        <v>37.499999999999957</v>
      </c>
    </row>
    <row r="329" spans="10:44" x14ac:dyDescent="0.2">
      <c r="J329">
        <v>160.07795100222711</v>
      </c>
      <c r="K329">
        <v>160.07795100222711</v>
      </c>
      <c r="L329">
        <v>180.957683741648</v>
      </c>
      <c r="M329">
        <v>167.03786191536761</v>
      </c>
      <c r="N329">
        <v>23.958333333333329</v>
      </c>
      <c r="O329">
        <v>23.958333333333329</v>
      </c>
      <c r="P329">
        <v>27.083333333333321</v>
      </c>
      <c r="Q329">
        <v>25.000000000000011</v>
      </c>
      <c r="S329">
        <v>72.621641249092136</v>
      </c>
      <c r="T329">
        <v>127.08787218591119</v>
      </c>
      <c r="U329">
        <v>122.54901960784311</v>
      </c>
      <c r="V329">
        <v>118.01016702977491</v>
      </c>
      <c r="W329">
        <v>16.66666666666665</v>
      </c>
      <c r="X329">
        <v>29.166666666666629</v>
      </c>
      <c r="Y329">
        <v>28.124999999999989</v>
      </c>
      <c r="Z329">
        <v>27.08333333333335</v>
      </c>
      <c r="AK329">
        <v>168.26923076923089</v>
      </c>
      <c r="AL329">
        <v>144.23076923076911</v>
      </c>
      <c r="AM329">
        <v>149.03846153846141</v>
      </c>
      <c r="AO329">
        <v>36.458333333333371</v>
      </c>
      <c r="AP329">
        <v>31.249999999999961</v>
      </c>
      <c r="AQ329">
        <v>32.291666666666643</v>
      </c>
    </row>
    <row r="330" spans="10:44" x14ac:dyDescent="0.2">
      <c r="J330">
        <v>160.07795100222711</v>
      </c>
      <c r="K330">
        <v>167.0378619153671</v>
      </c>
      <c r="L330">
        <v>167.0378619153671</v>
      </c>
      <c r="M330">
        <v>173.99777282850761</v>
      </c>
      <c r="N330">
        <v>23.958333333333329</v>
      </c>
      <c r="O330">
        <v>24.99999999999994</v>
      </c>
      <c r="P330">
        <v>24.99999999999994</v>
      </c>
      <c r="Q330">
        <v>26.041666666666629</v>
      </c>
      <c r="S330">
        <v>104.3936092955701</v>
      </c>
      <c r="T330">
        <v>108.9324618736382</v>
      </c>
      <c r="U330">
        <v>95.315904139433769</v>
      </c>
      <c r="V330">
        <v>122.54901960784311</v>
      </c>
      <c r="W330">
        <v>23.958333333333329</v>
      </c>
      <c r="X330">
        <v>24.999999999999972</v>
      </c>
      <c r="Y330">
        <v>21.87500000000005</v>
      </c>
      <c r="Z330">
        <v>28.124999999999989</v>
      </c>
      <c r="AK330">
        <v>96.153846153846189</v>
      </c>
      <c r="AL330">
        <v>91.346153846153811</v>
      </c>
      <c r="AM330">
        <v>129.80769230769241</v>
      </c>
      <c r="AN330">
        <v>129.80769230769241</v>
      </c>
      <c r="AO330">
        <v>20.833333333333339</v>
      </c>
      <c r="AP330">
        <v>19.791666666666661</v>
      </c>
      <c r="AQ330">
        <v>28.125000000000021</v>
      </c>
      <c r="AR330">
        <v>28.125000000000021</v>
      </c>
    </row>
    <row r="331" spans="10:44" x14ac:dyDescent="0.2">
      <c r="J331">
        <v>153.11804008908709</v>
      </c>
      <c r="K331">
        <v>167.0378619153671</v>
      </c>
      <c r="L331">
        <v>180.957683741648</v>
      </c>
      <c r="M331">
        <v>167.0378619153671</v>
      </c>
      <c r="N331">
        <v>22.91666666666671</v>
      </c>
      <c r="O331">
        <v>24.99999999999994</v>
      </c>
      <c r="P331">
        <v>27.083333333333321</v>
      </c>
      <c r="Q331">
        <v>24.99999999999994</v>
      </c>
      <c r="S331">
        <v>68.082788671023991</v>
      </c>
      <c r="T331">
        <v>140.7044299201161</v>
      </c>
      <c r="U331">
        <v>90.77705156136517</v>
      </c>
      <c r="V331">
        <v>131.62672476397981</v>
      </c>
      <c r="W331">
        <v>15.625000000000011</v>
      </c>
      <c r="X331">
        <v>32.29166666666665</v>
      </c>
      <c r="Y331">
        <v>20.833333333333311</v>
      </c>
      <c r="Z331">
        <v>30.208333333333371</v>
      </c>
      <c r="AK331">
        <v>129.80769230769241</v>
      </c>
      <c r="AL331">
        <v>168.26923076923089</v>
      </c>
      <c r="AM331">
        <v>48.076923076922867</v>
      </c>
      <c r="AN331">
        <v>115.3846153846152</v>
      </c>
      <c r="AO331">
        <v>28.125000000000021</v>
      </c>
      <c r="AP331">
        <v>36.458333333333371</v>
      </c>
      <c r="AQ331">
        <v>10.41666666666662</v>
      </c>
      <c r="AR331">
        <v>24.999999999999972</v>
      </c>
    </row>
    <row r="332" spans="10:44" x14ac:dyDescent="0.2">
      <c r="J332">
        <v>167.0378619153671</v>
      </c>
      <c r="K332">
        <v>153.11804008908709</v>
      </c>
      <c r="L332">
        <v>173.99777282850761</v>
      </c>
      <c r="M332">
        <v>180.957683741648</v>
      </c>
      <c r="N332">
        <v>24.99999999999994</v>
      </c>
      <c r="O332">
        <v>22.91666666666671</v>
      </c>
      <c r="P332">
        <v>26.041666666666629</v>
      </c>
      <c r="Q332">
        <v>27.083333333333321</v>
      </c>
      <c r="S332">
        <v>99.854756717501914</v>
      </c>
      <c r="T332">
        <v>95.315904139433769</v>
      </c>
      <c r="U332">
        <v>127.08787218591119</v>
      </c>
      <c r="V332">
        <v>108.9324618736382</v>
      </c>
      <c r="W332">
        <v>22.916666666666689</v>
      </c>
      <c r="X332">
        <v>21.87500000000005</v>
      </c>
      <c r="Y332">
        <v>29.166666666666629</v>
      </c>
      <c r="Z332">
        <v>24.999999999999972</v>
      </c>
      <c r="AK332">
        <v>153.84615384615381</v>
      </c>
      <c r="AL332">
        <v>149.03846153846141</v>
      </c>
      <c r="AM332">
        <v>173.0769230769229</v>
      </c>
      <c r="AO332">
        <v>33.333333333333329</v>
      </c>
      <c r="AP332">
        <v>32.291666666666643</v>
      </c>
      <c r="AQ332">
        <v>37.499999999999957</v>
      </c>
    </row>
    <row r="333" spans="10:44" x14ac:dyDescent="0.2">
      <c r="J333">
        <v>160.07795100222759</v>
      </c>
      <c r="K333">
        <v>153.11804008908709</v>
      </c>
      <c r="L333">
        <v>180.957683741648</v>
      </c>
      <c r="M333">
        <v>173.99777282850761</v>
      </c>
      <c r="N333">
        <v>23.958333333333389</v>
      </c>
      <c r="O333">
        <v>22.91666666666671</v>
      </c>
      <c r="P333">
        <v>27.083333333333321</v>
      </c>
      <c r="Q333">
        <v>26.041666666666629</v>
      </c>
      <c r="S333">
        <v>95.315904139433769</v>
      </c>
      <c r="T333">
        <v>108.9324618736382</v>
      </c>
      <c r="U333">
        <v>122.5490196078435</v>
      </c>
      <c r="V333">
        <v>118.01016702977449</v>
      </c>
      <c r="W333">
        <v>21.87500000000005</v>
      </c>
      <c r="X333">
        <v>24.999999999999972</v>
      </c>
      <c r="Y333">
        <v>28.125000000000089</v>
      </c>
      <c r="Z333">
        <v>27.08333333333325</v>
      </c>
      <c r="AK333">
        <v>168.26923076923049</v>
      </c>
      <c r="AL333">
        <v>144.23076923076951</v>
      </c>
      <c r="AM333">
        <v>144.23076923076951</v>
      </c>
      <c r="AO333">
        <v>36.458333333333272</v>
      </c>
      <c r="AP333">
        <v>31.25000000000006</v>
      </c>
      <c r="AQ333">
        <v>31.25000000000006</v>
      </c>
    </row>
    <row r="334" spans="10:44" x14ac:dyDescent="0.2">
      <c r="J334">
        <v>153.11804008908709</v>
      </c>
      <c r="K334">
        <v>167.0378619153671</v>
      </c>
      <c r="L334">
        <v>160.07795100222759</v>
      </c>
      <c r="M334">
        <v>180.957683741648</v>
      </c>
      <c r="N334">
        <v>22.91666666666671</v>
      </c>
      <c r="O334">
        <v>24.99999999999994</v>
      </c>
      <c r="P334">
        <v>23.958333333333389</v>
      </c>
      <c r="Q334">
        <v>27.083333333333321</v>
      </c>
      <c r="S334">
        <v>99.854756717501914</v>
      </c>
      <c r="T334">
        <v>104.3936092955701</v>
      </c>
      <c r="U334">
        <v>113.47131445170631</v>
      </c>
      <c r="V334">
        <v>104.3936092955701</v>
      </c>
      <c r="W334">
        <v>22.916666666666689</v>
      </c>
      <c r="X334">
        <v>23.958333333333329</v>
      </c>
      <c r="Y334">
        <v>26.041666666666611</v>
      </c>
      <c r="Z334">
        <v>23.958333333333329</v>
      </c>
      <c r="AK334">
        <v>96.153846153845734</v>
      </c>
      <c r="AL334">
        <v>96.153846153845734</v>
      </c>
      <c r="AM334">
        <v>129.80769230769241</v>
      </c>
      <c r="AN334">
        <v>129.80769230769241</v>
      </c>
      <c r="AO334">
        <v>20.83333333333324</v>
      </c>
      <c r="AP334">
        <v>20.83333333333324</v>
      </c>
      <c r="AQ334">
        <v>28.125000000000021</v>
      </c>
      <c r="AR334">
        <v>28.125000000000021</v>
      </c>
    </row>
    <row r="335" spans="10:44" x14ac:dyDescent="0.2">
      <c r="J335">
        <v>160.07795100222759</v>
      </c>
      <c r="K335">
        <v>160.07795100222759</v>
      </c>
      <c r="L335">
        <v>180.957683741648</v>
      </c>
      <c r="M335">
        <v>173.99777282850761</v>
      </c>
      <c r="N335">
        <v>23.958333333333389</v>
      </c>
      <c r="O335">
        <v>23.958333333333389</v>
      </c>
      <c r="P335">
        <v>27.083333333333321</v>
      </c>
      <c r="Q335">
        <v>26.041666666666629</v>
      </c>
      <c r="S335">
        <v>104.3936092955701</v>
      </c>
      <c r="T335">
        <v>108.9324618736382</v>
      </c>
      <c r="U335">
        <v>108.9324618736382</v>
      </c>
      <c r="V335">
        <v>127.08787218591171</v>
      </c>
      <c r="W335">
        <v>23.958333333333329</v>
      </c>
      <c r="X335">
        <v>24.999999999999972</v>
      </c>
      <c r="Y335">
        <v>24.999999999999972</v>
      </c>
      <c r="Z335">
        <v>29.166666666666728</v>
      </c>
      <c r="AK335">
        <v>129.80769230769241</v>
      </c>
      <c r="AL335">
        <v>168.26923076923049</v>
      </c>
      <c r="AM335">
        <v>48.076923076922867</v>
      </c>
      <c r="AN335">
        <v>115.3846153846152</v>
      </c>
      <c r="AO335">
        <v>28.125000000000021</v>
      </c>
      <c r="AP335">
        <v>36.458333333333272</v>
      </c>
      <c r="AQ335">
        <v>10.41666666666662</v>
      </c>
      <c r="AR335">
        <v>24.999999999999972</v>
      </c>
    </row>
    <row r="336" spans="10:44" x14ac:dyDescent="0.2">
      <c r="J336">
        <v>153.11804008908709</v>
      </c>
      <c r="K336">
        <v>167.03786191536801</v>
      </c>
      <c r="L336">
        <v>167.0378619153671</v>
      </c>
      <c r="M336">
        <v>180.957683741648</v>
      </c>
      <c r="N336">
        <v>22.91666666666671</v>
      </c>
      <c r="O336">
        <v>25.000000000000082</v>
      </c>
      <c r="P336">
        <v>24.99999999999994</v>
      </c>
      <c r="Q336">
        <v>27.083333333333321</v>
      </c>
      <c r="S336">
        <v>86.23819898329748</v>
      </c>
      <c r="T336">
        <v>113.47131445170631</v>
      </c>
      <c r="U336">
        <v>113.47131445170631</v>
      </c>
      <c r="V336">
        <v>118.01016702977449</v>
      </c>
      <c r="W336">
        <v>19.791666666666771</v>
      </c>
      <c r="X336">
        <v>26.041666666666611</v>
      </c>
      <c r="Y336">
        <v>26.041666666666611</v>
      </c>
      <c r="Z336">
        <v>27.08333333333325</v>
      </c>
      <c r="AK336">
        <v>153.84615384615429</v>
      </c>
      <c r="AL336">
        <v>149.03846153846189</v>
      </c>
      <c r="AM336">
        <v>187.5</v>
      </c>
      <c r="AO336">
        <v>33.333333333333428</v>
      </c>
      <c r="AP336">
        <v>32.291666666666742</v>
      </c>
      <c r="AQ336">
        <v>40.625</v>
      </c>
    </row>
    <row r="337" spans="10:44" x14ac:dyDescent="0.2">
      <c r="J337">
        <v>153.11804008908621</v>
      </c>
      <c r="K337">
        <v>167.0378619153671</v>
      </c>
      <c r="L337">
        <v>173.99777282850849</v>
      </c>
      <c r="M337">
        <v>173.99777282850849</v>
      </c>
      <c r="N337">
        <v>22.916666666666568</v>
      </c>
      <c r="O337">
        <v>24.99999999999994</v>
      </c>
      <c r="P337">
        <v>26.041666666666771</v>
      </c>
      <c r="Q337">
        <v>26.041666666666771</v>
      </c>
      <c r="S337">
        <v>77.16049382716028</v>
      </c>
      <c r="T337">
        <v>127.08787218591171</v>
      </c>
      <c r="U337">
        <v>118.01016702977449</v>
      </c>
      <c r="V337">
        <v>118.01016702977449</v>
      </c>
      <c r="W337">
        <v>17.708333333333279</v>
      </c>
      <c r="X337">
        <v>29.166666666666728</v>
      </c>
      <c r="Y337">
        <v>27.08333333333325</v>
      </c>
      <c r="Z337">
        <v>27.08333333333325</v>
      </c>
      <c r="AK337">
        <v>153.84615384615429</v>
      </c>
      <c r="AL337">
        <v>144.23076923076951</v>
      </c>
      <c r="AM337">
        <v>149.03846153846189</v>
      </c>
      <c r="AO337">
        <v>33.333333333333428</v>
      </c>
      <c r="AP337">
        <v>31.25000000000006</v>
      </c>
      <c r="AQ337">
        <v>32.291666666666742</v>
      </c>
    </row>
    <row r="338" spans="10:44" x14ac:dyDescent="0.2">
      <c r="J338">
        <v>153.11804008908621</v>
      </c>
      <c r="K338">
        <v>167.0378619153671</v>
      </c>
      <c r="L338">
        <v>173.99777282850849</v>
      </c>
      <c r="M338">
        <v>173.99777282850849</v>
      </c>
      <c r="N338">
        <v>22.916666666666568</v>
      </c>
      <c r="O338">
        <v>24.99999999999994</v>
      </c>
      <c r="P338">
        <v>26.041666666666771</v>
      </c>
      <c r="Q338">
        <v>26.041666666666771</v>
      </c>
      <c r="S338">
        <v>104.3936092955701</v>
      </c>
      <c r="T338">
        <v>104.3936092955701</v>
      </c>
      <c r="U338">
        <v>104.3936092955701</v>
      </c>
      <c r="V338">
        <v>122.5490196078435</v>
      </c>
      <c r="W338">
        <v>23.958333333333329</v>
      </c>
      <c r="X338">
        <v>23.958333333333329</v>
      </c>
      <c r="Y338">
        <v>23.958333333333329</v>
      </c>
      <c r="Z338">
        <v>28.125000000000089</v>
      </c>
      <c r="AK338">
        <v>96.153846153845734</v>
      </c>
      <c r="AL338">
        <v>91.346153846154266</v>
      </c>
      <c r="AM338">
        <v>129.80769230769241</v>
      </c>
      <c r="AN338">
        <v>129.80769230769241</v>
      </c>
      <c r="AO338">
        <v>20.83333333333324</v>
      </c>
      <c r="AP338">
        <v>19.79166666666676</v>
      </c>
      <c r="AQ338">
        <v>28.125000000000021</v>
      </c>
      <c r="AR338">
        <v>28.125000000000021</v>
      </c>
    </row>
    <row r="339" spans="10:44" x14ac:dyDescent="0.2">
      <c r="J339">
        <v>153.11804008908621</v>
      </c>
      <c r="K339">
        <v>167.0378619153671</v>
      </c>
      <c r="L339">
        <v>180.957683741648</v>
      </c>
      <c r="M339">
        <v>167.03786191536889</v>
      </c>
      <c r="N339">
        <v>22.916666666666568</v>
      </c>
      <c r="O339">
        <v>24.99999999999994</v>
      </c>
      <c r="P339">
        <v>27.083333333333321</v>
      </c>
      <c r="Q339">
        <v>25.00000000000022</v>
      </c>
      <c r="S339">
        <v>81.699346405228425</v>
      </c>
      <c r="T339">
        <v>118.01016702977449</v>
      </c>
      <c r="U339">
        <v>113.47131445170631</v>
      </c>
      <c r="V339">
        <v>122.5490196078445</v>
      </c>
      <c r="W339">
        <v>18.749999999999918</v>
      </c>
      <c r="X339">
        <v>27.08333333333325</v>
      </c>
      <c r="Y339">
        <v>26.041666666666611</v>
      </c>
      <c r="Z339">
        <v>28.125000000000298</v>
      </c>
      <c r="AK339">
        <v>129.80769230769241</v>
      </c>
      <c r="AL339">
        <v>168.26923076923049</v>
      </c>
      <c r="AM339">
        <v>48.076923076922867</v>
      </c>
      <c r="AN339">
        <v>115.3846153846152</v>
      </c>
      <c r="AO339">
        <v>28.125000000000021</v>
      </c>
      <c r="AP339">
        <v>36.458333333333272</v>
      </c>
      <c r="AQ339">
        <v>10.41666666666662</v>
      </c>
      <c r="AR339">
        <v>24.999999999999972</v>
      </c>
    </row>
    <row r="340" spans="10:44" ht="31" x14ac:dyDescent="0.35">
      <c r="J340" s="26"/>
    </row>
    <row r="341" spans="10:44" ht="31" x14ac:dyDescent="0.35">
      <c r="J341" s="9" t="s">
        <v>81</v>
      </c>
      <c r="K341" s="10"/>
      <c r="L341" s="10"/>
      <c r="M341" s="10"/>
      <c r="N341" s="10"/>
      <c r="O341" s="10"/>
      <c r="P341" s="10"/>
      <c r="Q341" s="10"/>
      <c r="S341" s="1" t="s">
        <v>112</v>
      </c>
      <c r="T341" s="2"/>
      <c r="U341" s="2"/>
      <c r="V341" s="2"/>
      <c r="W341" s="2"/>
      <c r="X341" s="2"/>
      <c r="Y341" s="2"/>
      <c r="Z341" s="2"/>
      <c r="AK341" s="16" t="s">
        <v>158</v>
      </c>
      <c r="AL341" s="17"/>
      <c r="AM341" s="17"/>
      <c r="AN341" s="17"/>
      <c r="AO341" s="17"/>
      <c r="AP341" s="17"/>
      <c r="AQ341" s="18"/>
      <c r="AR341" s="17"/>
    </row>
    <row r="342" spans="10:44" ht="31" x14ac:dyDescent="0.35">
      <c r="J342" s="3" t="s">
        <v>2</v>
      </c>
      <c r="N342" s="23" t="s">
        <v>18</v>
      </c>
      <c r="O342" s="6" t="s">
        <v>82</v>
      </c>
      <c r="P342" s="6"/>
      <c r="Q342" s="6"/>
      <c r="S342" s="3" t="s">
        <v>2</v>
      </c>
      <c r="W342" s="23" t="s">
        <v>18</v>
      </c>
      <c r="X342" s="24" t="s">
        <v>113</v>
      </c>
      <c r="AK342" s="3" t="s">
        <v>2</v>
      </c>
      <c r="AO342" s="6" t="s">
        <v>3</v>
      </c>
      <c r="AP342" s="6" t="s">
        <v>137</v>
      </c>
      <c r="AQ342" s="6"/>
      <c r="AR342" s="6"/>
    </row>
    <row r="343" spans="10:44" x14ac:dyDescent="0.2">
      <c r="J343" s="7">
        <v>1</v>
      </c>
      <c r="K343" s="6">
        <v>2</v>
      </c>
      <c r="L343" s="6">
        <v>3</v>
      </c>
      <c r="M343" s="6">
        <v>4</v>
      </c>
      <c r="N343" s="7">
        <v>1</v>
      </c>
      <c r="O343" s="6">
        <v>2</v>
      </c>
      <c r="P343" s="6">
        <v>3</v>
      </c>
      <c r="Q343" s="6">
        <v>4</v>
      </c>
      <c r="S343" s="7">
        <v>1</v>
      </c>
      <c r="T343" s="6">
        <v>2</v>
      </c>
      <c r="U343" s="6">
        <v>3</v>
      </c>
      <c r="V343" s="6">
        <v>4</v>
      </c>
      <c r="W343" s="7">
        <v>1</v>
      </c>
      <c r="X343" s="6">
        <v>2</v>
      </c>
      <c r="Y343" s="6">
        <v>3</v>
      </c>
      <c r="Z343" s="6">
        <v>4</v>
      </c>
      <c r="AK343" s="7">
        <v>1</v>
      </c>
      <c r="AL343" s="6">
        <v>2</v>
      </c>
      <c r="AM343" s="6">
        <v>3</v>
      </c>
      <c r="AN343" s="6">
        <v>4</v>
      </c>
      <c r="AO343" s="7">
        <v>1</v>
      </c>
      <c r="AP343" s="6">
        <v>2</v>
      </c>
      <c r="AQ343" s="6">
        <v>3</v>
      </c>
      <c r="AR343" s="6">
        <v>4</v>
      </c>
    </row>
    <row r="344" spans="10:44" x14ac:dyDescent="0.2">
      <c r="J344">
        <v>147.0588235294118</v>
      </c>
      <c r="K344">
        <v>175.07002801120441</v>
      </c>
      <c r="L344">
        <v>161.06442577030819</v>
      </c>
      <c r="M344">
        <v>196.07843137254909</v>
      </c>
      <c r="N344">
        <v>21.875</v>
      </c>
      <c r="O344">
        <v>26.041666666666661</v>
      </c>
      <c r="P344">
        <v>23.958333333333339</v>
      </c>
      <c r="Q344">
        <v>29.166666666666671</v>
      </c>
      <c r="S344">
        <v>111.323155216285</v>
      </c>
      <c r="T344">
        <v>111.323155216285</v>
      </c>
      <c r="U344">
        <v>143.12977099236639</v>
      </c>
      <c r="V344">
        <v>127.2264631043257</v>
      </c>
      <c r="W344">
        <v>21.875</v>
      </c>
      <c r="X344">
        <v>21.875</v>
      </c>
      <c r="Y344">
        <v>28.125</v>
      </c>
      <c r="Z344">
        <v>25</v>
      </c>
      <c r="AK344">
        <v>125</v>
      </c>
      <c r="AL344">
        <v>125</v>
      </c>
      <c r="AM344">
        <v>166.66666666666671</v>
      </c>
      <c r="AO344">
        <v>31.250000000000011</v>
      </c>
      <c r="AP344">
        <v>31.250000000000011</v>
      </c>
      <c r="AQ344">
        <v>41.666666666666679</v>
      </c>
    </row>
    <row r="345" spans="10:44" x14ac:dyDescent="0.2">
      <c r="J345">
        <v>147.05882352941171</v>
      </c>
      <c r="K345">
        <v>154.06162464985991</v>
      </c>
      <c r="L345">
        <v>182.07282913165261</v>
      </c>
      <c r="M345">
        <v>182.0728291316527</v>
      </c>
      <c r="N345">
        <v>21.874999999999989</v>
      </c>
      <c r="O345">
        <v>22.916666666666661</v>
      </c>
      <c r="P345">
        <v>27.083333333333329</v>
      </c>
      <c r="Q345">
        <v>27.083333333333339</v>
      </c>
      <c r="S345">
        <v>127.2264631043257</v>
      </c>
      <c r="T345">
        <v>127.2264631043257</v>
      </c>
      <c r="U345">
        <v>137.8286683630196</v>
      </c>
      <c r="V345">
        <v>121.9253604749788</v>
      </c>
      <c r="W345">
        <v>24.999999999999989</v>
      </c>
      <c r="X345">
        <v>25</v>
      </c>
      <c r="Y345">
        <v>27.08333333333335</v>
      </c>
      <c r="Z345">
        <v>23.958333333333329</v>
      </c>
      <c r="AK345">
        <v>133.3333333333334</v>
      </c>
      <c r="AL345">
        <v>83.333333333333371</v>
      </c>
      <c r="AM345">
        <v>170.8333333333334</v>
      </c>
      <c r="AO345">
        <v>33.333333333333343</v>
      </c>
      <c r="AP345">
        <v>20.833333333333339</v>
      </c>
      <c r="AQ345">
        <v>42.708333333333343</v>
      </c>
    </row>
    <row r="346" spans="10:44" x14ac:dyDescent="0.2">
      <c r="J346">
        <v>168.0672268907563</v>
      </c>
      <c r="K346">
        <v>140.0560224089636</v>
      </c>
      <c r="L346">
        <v>175.07002801120441</v>
      </c>
      <c r="M346">
        <v>196.07843137254889</v>
      </c>
      <c r="N346">
        <v>25</v>
      </c>
      <c r="O346">
        <v>20.833333333333339</v>
      </c>
      <c r="P346">
        <v>26.04166666666665</v>
      </c>
      <c r="Q346">
        <v>29.166666666666661</v>
      </c>
      <c r="S346">
        <v>132.52756573367259</v>
      </c>
      <c r="T346">
        <v>127.2264631043258</v>
      </c>
      <c r="U346">
        <v>116.624257845632</v>
      </c>
      <c r="V346">
        <v>143.1297709923665</v>
      </c>
      <c r="W346">
        <v>26.041666666666671</v>
      </c>
      <c r="X346">
        <v>25.000000000000021</v>
      </c>
      <c r="Y346">
        <v>22.916666666666689</v>
      </c>
      <c r="Z346">
        <v>28.125000000000021</v>
      </c>
      <c r="AK346">
        <v>87.5</v>
      </c>
      <c r="AL346">
        <v>83.333333333333371</v>
      </c>
      <c r="AM346">
        <v>112.5</v>
      </c>
      <c r="AN346">
        <v>116.6666666666667</v>
      </c>
      <c r="AO346">
        <v>21.875</v>
      </c>
      <c r="AP346">
        <v>20.833333333333339</v>
      </c>
      <c r="AQ346">
        <v>28.125</v>
      </c>
      <c r="AR346">
        <v>29.166666666666689</v>
      </c>
    </row>
    <row r="347" spans="10:44" x14ac:dyDescent="0.2">
      <c r="J347">
        <v>154.06162464986011</v>
      </c>
      <c r="K347">
        <v>154.06162464985979</v>
      </c>
      <c r="L347">
        <v>168.0672268907565</v>
      </c>
      <c r="M347">
        <v>189.07563025210081</v>
      </c>
      <c r="N347">
        <v>22.916666666666689</v>
      </c>
      <c r="O347">
        <v>22.91666666666665</v>
      </c>
      <c r="P347">
        <v>25.000000000000028</v>
      </c>
      <c r="Q347">
        <v>28.125</v>
      </c>
      <c r="S347">
        <v>127.2264631043256</v>
      </c>
      <c r="T347">
        <v>121.9253604749788</v>
      </c>
      <c r="U347">
        <v>132.52756573367259</v>
      </c>
      <c r="V347">
        <v>121.9253604749788</v>
      </c>
      <c r="W347">
        <v>24.999999999999979</v>
      </c>
      <c r="X347">
        <v>23.958333333333329</v>
      </c>
      <c r="Y347">
        <v>26.041666666666671</v>
      </c>
      <c r="Z347">
        <v>23.958333333333329</v>
      </c>
      <c r="AK347">
        <v>100</v>
      </c>
      <c r="AL347">
        <v>95.833333333333258</v>
      </c>
      <c r="AM347">
        <v>79.166666666666742</v>
      </c>
      <c r="AN347">
        <v>125</v>
      </c>
      <c r="AO347">
        <v>25</v>
      </c>
      <c r="AP347">
        <v>23.958333333333311</v>
      </c>
      <c r="AQ347">
        <v>19.791666666666689</v>
      </c>
      <c r="AR347">
        <v>31.25</v>
      </c>
    </row>
    <row r="348" spans="10:44" x14ac:dyDescent="0.2">
      <c r="J348">
        <v>154.06162464985979</v>
      </c>
      <c r="K348">
        <v>168.0672268907565</v>
      </c>
      <c r="L348">
        <v>161.06442577030791</v>
      </c>
      <c r="M348">
        <v>196.07843137254889</v>
      </c>
      <c r="N348">
        <v>22.91666666666665</v>
      </c>
      <c r="O348">
        <v>25.000000000000028</v>
      </c>
      <c r="P348">
        <v>23.9583333333333</v>
      </c>
      <c r="Q348">
        <v>29.166666666666661</v>
      </c>
      <c r="S348">
        <v>127.2264631043256</v>
      </c>
      <c r="T348">
        <v>121.9253604749788</v>
      </c>
      <c r="U348">
        <v>132.52756573367239</v>
      </c>
      <c r="V348">
        <v>127.2264631043258</v>
      </c>
      <c r="W348">
        <v>24.999999999999979</v>
      </c>
      <c r="X348">
        <v>23.958333333333329</v>
      </c>
      <c r="Y348">
        <v>26.041666666666629</v>
      </c>
      <c r="Z348">
        <v>25.000000000000021</v>
      </c>
      <c r="AK348">
        <v>120.8333333333333</v>
      </c>
      <c r="AL348">
        <v>125</v>
      </c>
      <c r="AM348">
        <v>166.66666666666671</v>
      </c>
      <c r="AO348">
        <v>30.208333333333311</v>
      </c>
      <c r="AP348">
        <v>31.25</v>
      </c>
      <c r="AQ348">
        <v>41.666666666666693</v>
      </c>
    </row>
    <row r="349" spans="10:44" x14ac:dyDescent="0.2">
      <c r="J349">
        <v>147.05882352941171</v>
      </c>
      <c r="K349">
        <v>154.06162464985979</v>
      </c>
      <c r="L349">
        <v>182.0728291316527</v>
      </c>
      <c r="M349">
        <v>189.07563025210081</v>
      </c>
      <c r="N349">
        <v>21.874999999999989</v>
      </c>
      <c r="O349">
        <v>22.91666666666665</v>
      </c>
      <c r="P349">
        <v>27.083333333333339</v>
      </c>
      <c r="Q349">
        <v>28.125</v>
      </c>
      <c r="S349">
        <v>121.9253604749788</v>
      </c>
      <c r="T349">
        <v>127.2264631043258</v>
      </c>
      <c r="U349">
        <v>121.9253604749788</v>
      </c>
      <c r="V349">
        <v>148.43087362171349</v>
      </c>
      <c r="W349">
        <v>23.958333333333329</v>
      </c>
      <c r="X349">
        <v>25.000000000000021</v>
      </c>
      <c r="Y349">
        <v>23.958333333333329</v>
      </c>
      <c r="Z349">
        <v>29.16666666666671</v>
      </c>
      <c r="AK349">
        <v>133.33333333333351</v>
      </c>
      <c r="AL349">
        <v>125</v>
      </c>
      <c r="AM349">
        <v>129.16666666666649</v>
      </c>
      <c r="AO349">
        <v>33.333333333333371</v>
      </c>
      <c r="AP349">
        <v>31.25</v>
      </c>
      <c r="AQ349">
        <v>32.291666666666629</v>
      </c>
    </row>
    <row r="350" spans="10:44" x14ac:dyDescent="0.2">
      <c r="J350">
        <v>140.05602240896411</v>
      </c>
      <c r="K350">
        <v>161.06442577030791</v>
      </c>
      <c r="L350">
        <v>175.07002801120419</v>
      </c>
      <c r="M350">
        <v>196.07843137254889</v>
      </c>
      <c r="N350">
        <v>20.8333333333334</v>
      </c>
      <c r="O350">
        <v>23.9583333333333</v>
      </c>
      <c r="P350">
        <v>26.041666666666622</v>
      </c>
      <c r="Q350">
        <v>29.166666666666661</v>
      </c>
      <c r="S350">
        <v>111.3231552162852</v>
      </c>
      <c r="T350">
        <v>132.52756573367239</v>
      </c>
      <c r="U350">
        <v>127.2264631043258</v>
      </c>
      <c r="V350">
        <v>148.43087362171309</v>
      </c>
      <c r="W350">
        <v>21.875000000000028</v>
      </c>
      <c r="X350">
        <v>26.041666666666629</v>
      </c>
      <c r="Y350">
        <v>25.000000000000021</v>
      </c>
      <c r="Z350">
        <v>29.166666666666622</v>
      </c>
      <c r="AK350">
        <v>87.5</v>
      </c>
      <c r="AL350">
        <v>87.5</v>
      </c>
      <c r="AM350">
        <v>108.3333333333335</v>
      </c>
      <c r="AN350">
        <v>112.5</v>
      </c>
      <c r="AO350">
        <v>21.875</v>
      </c>
      <c r="AP350">
        <v>21.875</v>
      </c>
      <c r="AQ350">
        <v>27.083333333333371</v>
      </c>
      <c r="AR350">
        <v>28.125</v>
      </c>
    </row>
    <row r="351" spans="10:44" x14ac:dyDescent="0.2">
      <c r="J351">
        <v>154.06162464986031</v>
      </c>
      <c r="K351">
        <v>140.05602240896411</v>
      </c>
      <c r="L351">
        <v>182.0728291316527</v>
      </c>
      <c r="M351">
        <v>196.07843137254889</v>
      </c>
      <c r="N351">
        <v>22.916666666666721</v>
      </c>
      <c r="O351">
        <v>20.8333333333334</v>
      </c>
      <c r="P351">
        <v>27.083333333333339</v>
      </c>
      <c r="Q351">
        <v>29.166666666666661</v>
      </c>
      <c r="S351">
        <v>111.3231552162852</v>
      </c>
      <c r="T351">
        <v>111.3231552162852</v>
      </c>
      <c r="U351">
        <v>132.52756573367239</v>
      </c>
      <c r="V351">
        <v>137.82866836301949</v>
      </c>
      <c r="W351">
        <v>21.875000000000028</v>
      </c>
      <c r="X351">
        <v>21.875000000000028</v>
      </c>
      <c r="Y351">
        <v>26.041666666666629</v>
      </c>
      <c r="Z351">
        <v>27.083333333333329</v>
      </c>
      <c r="AK351">
        <v>137.5</v>
      </c>
      <c r="AL351">
        <v>137.5</v>
      </c>
      <c r="AM351">
        <v>129.16666666666649</v>
      </c>
      <c r="AO351">
        <v>34.375</v>
      </c>
      <c r="AP351">
        <v>34.375</v>
      </c>
      <c r="AQ351">
        <v>32.291666666666629</v>
      </c>
    </row>
    <row r="352" spans="10:44" x14ac:dyDescent="0.2">
      <c r="J352">
        <v>140.05602240896309</v>
      </c>
      <c r="K352">
        <v>168.0672268907565</v>
      </c>
      <c r="L352">
        <v>189.07563025210041</v>
      </c>
      <c r="M352">
        <v>168.0672268907565</v>
      </c>
      <c r="N352">
        <v>20.833333333333272</v>
      </c>
      <c r="O352">
        <v>25.000000000000028</v>
      </c>
      <c r="P352">
        <v>28.124999999999929</v>
      </c>
      <c r="Q352">
        <v>25.000000000000028</v>
      </c>
      <c r="S352">
        <v>121.9253604749792</v>
      </c>
      <c r="T352">
        <v>100.7209499575911</v>
      </c>
      <c r="U352">
        <v>148.43087362171349</v>
      </c>
      <c r="V352">
        <v>137.82866836301949</v>
      </c>
      <c r="W352">
        <v>23.958333333333421</v>
      </c>
      <c r="X352">
        <v>19.79166666666665</v>
      </c>
      <c r="Y352">
        <v>29.16666666666671</v>
      </c>
      <c r="Z352">
        <v>27.083333333333329</v>
      </c>
      <c r="AK352">
        <v>125</v>
      </c>
      <c r="AL352">
        <v>120.8333333333335</v>
      </c>
      <c r="AM352">
        <v>175</v>
      </c>
      <c r="AO352">
        <v>31.25</v>
      </c>
      <c r="AP352">
        <v>30.208333333333371</v>
      </c>
      <c r="AQ352">
        <v>43.75</v>
      </c>
    </row>
    <row r="353" spans="10:44" x14ac:dyDescent="0.2">
      <c r="J353">
        <v>147.05882352941171</v>
      </c>
      <c r="K353">
        <v>175.07002801120419</v>
      </c>
      <c r="L353">
        <v>168.0672268907565</v>
      </c>
      <c r="M353">
        <v>189.07563025210041</v>
      </c>
      <c r="N353">
        <v>21.874999999999989</v>
      </c>
      <c r="O353">
        <v>26.041666666666622</v>
      </c>
      <c r="P353">
        <v>25.000000000000028</v>
      </c>
      <c r="Q353">
        <v>28.124999999999929</v>
      </c>
      <c r="S353">
        <v>95.419847328244032</v>
      </c>
      <c r="T353">
        <v>153.73197625106059</v>
      </c>
      <c r="U353">
        <v>121.9253604749792</v>
      </c>
      <c r="V353">
        <v>153.73197625106059</v>
      </c>
      <c r="W353">
        <v>18.74999999999995</v>
      </c>
      <c r="X353">
        <v>30.2083333333334</v>
      </c>
      <c r="Y353">
        <v>23.958333333333421</v>
      </c>
      <c r="Z353">
        <v>30.2083333333334</v>
      </c>
      <c r="AK353">
        <v>125</v>
      </c>
      <c r="AL353">
        <v>83.333333333333485</v>
      </c>
      <c r="AM353">
        <v>166.66666666666649</v>
      </c>
      <c r="AO353">
        <v>31.25</v>
      </c>
      <c r="AP353">
        <v>20.833333333333371</v>
      </c>
      <c r="AQ353">
        <v>41.666666666666629</v>
      </c>
    </row>
    <row r="354" spans="10:44" x14ac:dyDescent="0.2">
      <c r="J354">
        <v>147.05882352941171</v>
      </c>
      <c r="K354">
        <v>161.06442577030791</v>
      </c>
      <c r="L354">
        <v>175.07002801120419</v>
      </c>
      <c r="M354">
        <v>196.07843137254889</v>
      </c>
      <c r="N354">
        <v>21.874999999999989</v>
      </c>
      <c r="O354">
        <v>23.9583333333333</v>
      </c>
      <c r="P354">
        <v>26.041666666666622</v>
      </c>
      <c r="Q354">
        <v>29.166666666666661</v>
      </c>
      <c r="S354">
        <v>111.3231552162852</v>
      </c>
      <c r="T354">
        <v>116.6242578456322</v>
      </c>
      <c r="U354">
        <v>106.0220525869381</v>
      </c>
      <c r="V354">
        <v>164.33418150975379</v>
      </c>
      <c r="W354">
        <v>21.875000000000028</v>
      </c>
      <c r="X354">
        <v>22.916666666666728</v>
      </c>
      <c r="Y354">
        <v>20.833333333333339</v>
      </c>
      <c r="Z354">
        <v>32.291666666666607</v>
      </c>
      <c r="AK354">
        <v>87.5</v>
      </c>
      <c r="AL354">
        <v>87.499999999999545</v>
      </c>
      <c r="AM354">
        <v>112.5</v>
      </c>
      <c r="AN354">
        <v>112.5</v>
      </c>
      <c r="AO354">
        <v>21.875</v>
      </c>
      <c r="AP354">
        <v>21.87499999999989</v>
      </c>
      <c r="AQ354">
        <v>28.125</v>
      </c>
      <c r="AR354">
        <v>28.125</v>
      </c>
    </row>
    <row r="355" spans="10:44" x14ac:dyDescent="0.2">
      <c r="J355">
        <v>140.05602240896411</v>
      </c>
      <c r="K355">
        <v>154.06162464986031</v>
      </c>
      <c r="L355">
        <v>182.0728291316527</v>
      </c>
      <c r="M355">
        <v>189.07563025210041</v>
      </c>
      <c r="N355">
        <v>20.8333333333334</v>
      </c>
      <c r="O355">
        <v>22.916666666666721</v>
      </c>
      <c r="P355">
        <v>27.083333333333339</v>
      </c>
      <c r="Q355">
        <v>28.124999999999929</v>
      </c>
      <c r="S355">
        <v>95.419847328244032</v>
      </c>
      <c r="T355">
        <v>143.1297709923665</v>
      </c>
      <c r="U355">
        <v>143.1297709923665</v>
      </c>
      <c r="V355">
        <v>121.9253604749792</v>
      </c>
      <c r="W355">
        <v>18.74999999999995</v>
      </c>
      <c r="X355">
        <v>28.125000000000021</v>
      </c>
      <c r="Y355">
        <v>28.125000000000021</v>
      </c>
      <c r="Z355">
        <v>23.958333333333421</v>
      </c>
      <c r="AK355">
        <v>108.333333333333</v>
      </c>
      <c r="AL355">
        <v>108.333333333333</v>
      </c>
      <c r="AM355">
        <v>62.5</v>
      </c>
      <c r="AN355">
        <v>125</v>
      </c>
      <c r="AO355">
        <v>27.083333333333261</v>
      </c>
      <c r="AP355">
        <v>27.083333333333261</v>
      </c>
      <c r="AQ355">
        <v>15.625</v>
      </c>
      <c r="AR355">
        <v>31.25</v>
      </c>
    </row>
    <row r="356" spans="10:44" x14ac:dyDescent="0.2">
      <c r="J356">
        <v>140.05602240896411</v>
      </c>
      <c r="K356">
        <v>168.0672268907565</v>
      </c>
      <c r="L356">
        <v>182.07282913165179</v>
      </c>
      <c r="M356">
        <v>175.0700280112051</v>
      </c>
      <c r="N356">
        <v>20.8333333333334</v>
      </c>
      <c r="O356">
        <v>25.000000000000028</v>
      </c>
      <c r="P356">
        <v>27.083333333333211</v>
      </c>
      <c r="Q356">
        <v>26.04166666666675</v>
      </c>
      <c r="S356">
        <v>116.6242578456322</v>
      </c>
      <c r="T356">
        <v>121.9253604749792</v>
      </c>
      <c r="U356">
        <v>143.1297709923665</v>
      </c>
      <c r="V356">
        <v>121.9253604749792</v>
      </c>
      <c r="W356">
        <v>22.916666666666728</v>
      </c>
      <c r="X356">
        <v>23.958333333333421</v>
      </c>
      <c r="Y356">
        <v>28.125000000000021</v>
      </c>
      <c r="Z356">
        <v>23.958333333333421</v>
      </c>
      <c r="AK356">
        <v>125</v>
      </c>
      <c r="AL356">
        <v>125</v>
      </c>
      <c r="AM356">
        <v>166.666666666667</v>
      </c>
      <c r="AO356">
        <v>31.25</v>
      </c>
      <c r="AP356">
        <v>31.25</v>
      </c>
      <c r="AQ356">
        <v>41.666666666666742</v>
      </c>
    </row>
    <row r="357" spans="10:44" x14ac:dyDescent="0.2">
      <c r="J357">
        <v>161.06442577030791</v>
      </c>
      <c r="K357">
        <v>140.05602240896411</v>
      </c>
      <c r="L357">
        <v>189.07563025210041</v>
      </c>
      <c r="M357">
        <v>189.07563025210041</v>
      </c>
      <c r="N357">
        <v>23.9583333333333</v>
      </c>
      <c r="O357">
        <v>20.8333333333334</v>
      </c>
      <c r="P357">
        <v>28.124999999999929</v>
      </c>
      <c r="Q357">
        <v>28.124999999999929</v>
      </c>
      <c r="S357">
        <v>116.6242578456322</v>
      </c>
      <c r="T357">
        <v>121.9253604749792</v>
      </c>
      <c r="U357">
        <v>137.82866836301949</v>
      </c>
      <c r="V357">
        <v>137.82866836301949</v>
      </c>
      <c r="W357">
        <v>22.916666666666728</v>
      </c>
      <c r="X357">
        <v>23.958333333333421</v>
      </c>
      <c r="Y357">
        <v>27.083333333333329</v>
      </c>
      <c r="Z357">
        <v>27.083333333333329</v>
      </c>
      <c r="AK357">
        <v>129.166666666667</v>
      </c>
      <c r="AL357">
        <v>125</v>
      </c>
      <c r="AM357">
        <v>129.166666666667</v>
      </c>
      <c r="AO357">
        <v>32.291666666666742</v>
      </c>
      <c r="AP357">
        <v>31.25</v>
      </c>
      <c r="AQ357">
        <v>32.291666666666742</v>
      </c>
    </row>
    <row r="358" spans="10:44" x14ac:dyDescent="0.2">
      <c r="J358">
        <v>147.05882352941259</v>
      </c>
      <c r="K358">
        <v>161.06442577030791</v>
      </c>
      <c r="L358">
        <v>175.0700280112051</v>
      </c>
      <c r="M358">
        <v>196.07843137254889</v>
      </c>
      <c r="N358">
        <v>21.875000000000131</v>
      </c>
      <c r="O358">
        <v>23.9583333333333</v>
      </c>
      <c r="P358">
        <v>26.04166666666675</v>
      </c>
      <c r="Q358">
        <v>29.166666666666661</v>
      </c>
      <c r="S358">
        <v>116.6242578456322</v>
      </c>
      <c r="T358">
        <v>121.9253604749792</v>
      </c>
      <c r="U358">
        <v>132.52756573367239</v>
      </c>
      <c r="V358">
        <v>143.1297709923665</v>
      </c>
      <c r="W358">
        <v>22.916666666666728</v>
      </c>
      <c r="X358">
        <v>23.958333333333421</v>
      </c>
      <c r="Y358">
        <v>26.041666666666629</v>
      </c>
      <c r="Z358">
        <v>28.125000000000021</v>
      </c>
      <c r="AK358">
        <v>87.5</v>
      </c>
      <c r="AL358">
        <v>87.5</v>
      </c>
      <c r="AM358">
        <v>108.333333333333</v>
      </c>
      <c r="AN358">
        <v>112.5</v>
      </c>
      <c r="AO358">
        <v>21.875</v>
      </c>
      <c r="AP358">
        <v>21.875</v>
      </c>
      <c r="AQ358">
        <v>27.083333333333261</v>
      </c>
      <c r="AR358">
        <v>28.125</v>
      </c>
    </row>
    <row r="359" spans="10:44" x14ac:dyDescent="0.2">
      <c r="J359">
        <v>154.0616246498594</v>
      </c>
      <c r="K359">
        <v>140.05602240896411</v>
      </c>
      <c r="L359">
        <v>182.07282913165179</v>
      </c>
      <c r="M359">
        <v>182.07282913165361</v>
      </c>
      <c r="N359">
        <v>22.916666666666579</v>
      </c>
      <c r="O359">
        <v>20.8333333333334</v>
      </c>
      <c r="P359">
        <v>27.083333333333211</v>
      </c>
      <c r="Q359">
        <v>27.083333333333481</v>
      </c>
      <c r="S359">
        <v>127.2264631043254</v>
      </c>
      <c r="T359">
        <v>116.6242578456322</v>
      </c>
      <c r="U359">
        <v>137.82866836301949</v>
      </c>
      <c r="V359">
        <v>121.9253604749738</v>
      </c>
      <c r="W359">
        <v>24.99999999999994</v>
      </c>
      <c r="X359">
        <v>22.916666666666728</v>
      </c>
      <c r="Y359">
        <v>27.083333333333329</v>
      </c>
      <c r="Z359">
        <v>23.958333333332352</v>
      </c>
      <c r="AK359">
        <v>137.5</v>
      </c>
      <c r="AL359">
        <v>137.5</v>
      </c>
      <c r="AM359">
        <v>125</v>
      </c>
      <c r="AO359">
        <v>34.375</v>
      </c>
      <c r="AP359">
        <v>34.375</v>
      </c>
      <c r="AQ359">
        <v>31.25</v>
      </c>
    </row>
    <row r="360" spans="10:44" ht="31" x14ac:dyDescent="0.35">
      <c r="J360" s="26"/>
    </row>
    <row r="361" spans="10:44" ht="31" x14ac:dyDescent="0.35">
      <c r="J361" s="9" t="s">
        <v>83</v>
      </c>
      <c r="K361" s="10"/>
      <c r="L361" s="10"/>
      <c r="M361" s="10"/>
      <c r="N361" s="10"/>
      <c r="O361" s="10"/>
      <c r="P361" s="10"/>
      <c r="Q361" s="10"/>
      <c r="S361" s="1" t="s">
        <v>115</v>
      </c>
      <c r="T361" s="2"/>
      <c r="U361" s="2"/>
      <c r="V361" s="2"/>
      <c r="W361" s="2"/>
      <c r="X361" s="2"/>
      <c r="Y361" s="2"/>
      <c r="Z361" s="2"/>
      <c r="AK361" s="16" t="s">
        <v>159</v>
      </c>
      <c r="AL361" s="17"/>
      <c r="AM361" s="17"/>
      <c r="AN361" s="17"/>
      <c r="AO361" s="17"/>
      <c r="AP361" s="17"/>
      <c r="AQ361" s="18"/>
      <c r="AR361" s="17"/>
    </row>
    <row r="362" spans="10:44" ht="31" x14ac:dyDescent="0.35">
      <c r="J362" s="3" t="s">
        <v>2</v>
      </c>
      <c r="N362" s="23" t="s">
        <v>18</v>
      </c>
      <c r="O362" s="6" t="s">
        <v>84</v>
      </c>
      <c r="P362" s="6"/>
      <c r="Q362" s="6"/>
      <c r="S362" s="3" t="s">
        <v>2</v>
      </c>
      <c r="W362" s="23" t="s">
        <v>18</v>
      </c>
      <c r="X362" s="24" t="s">
        <v>116</v>
      </c>
      <c r="AK362" s="3" t="s">
        <v>2</v>
      </c>
      <c r="AO362" s="6" t="s">
        <v>3</v>
      </c>
      <c r="AP362" s="6" t="s">
        <v>144</v>
      </c>
      <c r="AQ362" s="6"/>
      <c r="AR362" s="6"/>
    </row>
    <row r="363" spans="10:44" x14ac:dyDescent="0.2">
      <c r="J363" s="7">
        <v>1</v>
      </c>
      <c r="K363" s="6">
        <v>2</v>
      </c>
      <c r="L363" s="6">
        <v>3</v>
      </c>
      <c r="M363" s="6">
        <v>4</v>
      </c>
      <c r="N363" s="7">
        <v>1</v>
      </c>
      <c r="O363" s="6">
        <v>2</v>
      </c>
      <c r="P363" s="6">
        <v>3</v>
      </c>
      <c r="Q363" s="6">
        <v>4</v>
      </c>
      <c r="S363" s="7">
        <v>1</v>
      </c>
      <c r="T363" s="6">
        <v>2</v>
      </c>
      <c r="U363" s="6">
        <v>3</v>
      </c>
      <c r="V363" s="6">
        <v>4</v>
      </c>
      <c r="W363" s="7">
        <v>1</v>
      </c>
      <c r="X363" s="6">
        <v>2</v>
      </c>
      <c r="Y363" s="6">
        <v>3</v>
      </c>
      <c r="Z363" s="6">
        <v>4</v>
      </c>
      <c r="AK363" s="7">
        <v>1</v>
      </c>
      <c r="AL363" s="6">
        <v>2</v>
      </c>
      <c r="AM363" s="6">
        <v>3</v>
      </c>
      <c r="AN363" s="6">
        <v>4</v>
      </c>
      <c r="AO363" s="7">
        <v>1</v>
      </c>
      <c r="AP363" s="6">
        <v>2</v>
      </c>
      <c r="AQ363" s="6">
        <v>3</v>
      </c>
      <c r="AR363" s="6">
        <v>4</v>
      </c>
    </row>
    <row r="364" spans="10:44" x14ac:dyDescent="0.2">
      <c r="J364">
        <v>138.07069219440351</v>
      </c>
      <c r="K364">
        <v>151.2202819272039</v>
      </c>
      <c r="L364">
        <v>177.51946139280449</v>
      </c>
      <c r="M364">
        <v>157.79507679360401</v>
      </c>
      <c r="N364">
        <v>21.875</v>
      </c>
      <c r="O364">
        <v>23.958333333333339</v>
      </c>
      <c r="P364">
        <v>28.125000000000011</v>
      </c>
      <c r="Q364">
        <v>25</v>
      </c>
      <c r="S364">
        <v>130.5346700083542</v>
      </c>
      <c r="T364">
        <v>109.64912280701751</v>
      </c>
      <c r="U364">
        <v>125.31328320802</v>
      </c>
      <c r="V364">
        <v>146.1988304093567</v>
      </c>
      <c r="W364">
        <v>26.041666666666671</v>
      </c>
      <c r="X364">
        <v>21.875</v>
      </c>
      <c r="Y364">
        <v>25</v>
      </c>
      <c r="Z364">
        <v>29.166666666666671</v>
      </c>
      <c r="AK364">
        <v>144.2307692307692</v>
      </c>
      <c r="AL364">
        <v>144.2307692307692</v>
      </c>
      <c r="AM364">
        <v>192.30769230769229</v>
      </c>
      <c r="AO364">
        <v>31.25</v>
      </c>
      <c r="AP364">
        <v>31.25</v>
      </c>
      <c r="AQ364">
        <v>41.666666666666657</v>
      </c>
    </row>
    <row r="365" spans="10:44" x14ac:dyDescent="0.2">
      <c r="J365">
        <v>144.6454870608037</v>
      </c>
      <c r="K365">
        <v>138.07069219440351</v>
      </c>
      <c r="L365">
        <v>177.51946139280449</v>
      </c>
      <c r="M365">
        <v>177.51946139280449</v>
      </c>
      <c r="N365">
        <v>22.916666666666671</v>
      </c>
      <c r="O365">
        <v>21.874999999999989</v>
      </c>
      <c r="P365">
        <v>28.124999999999989</v>
      </c>
      <c r="Q365">
        <v>28.124999999999989</v>
      </c>
      <c r="S365">
        <v>114.87050960735171</v>
      </c>
      <c r="T365">
        <v>114.87050960735171</v>
      </c>
      <c r="U365">
        <v>146.1988304093567</v>
      </c>
      <c r="V365">
        <v>130.5346700083542</v>
      </c>
      <c r="W365">
        <v>22.916666666666661</v>
      </c>
      <c r="X365">
        <v>22.916666666666661</v>
      </c>
      <c r="Y365">
        <v>29.166666666666661</v>
      </c>
      <c r="Z365">
        <v>26.041666666666661</v>
      </c>
      <c r="AK365">
        <v>168.26923076923069</v>
      </c>
      <c r="AL365">
        <v>144.23076923076931</v>
      </c>
      <c r="AM365">
        <v>129.80769230769229</v>
      </c>
      <c r="AO365">
        <v>36.458333333333321</v>
      </c>
      <c r="AP365">
        <v>31.250000000000011</v>
      </c>
      <c r="AQ365">
        <v>28.124999999999989</v>
      </c>
    </row>
    <row r="366" spans="10:44" x14ac:dyDescent="0.2">
      <c r="J366">
        <v>138.07069219440359</v>
      </c>
      <c r="K366">
        <v>157.79507679360401</v>
      </c>
      <c r="L366">
        <v>151.22028192720381</v>
      </c>
      <c r="M366">
        <v>177.51946139280449</v>
      </c>
      <c r="N366">
        <v>21.875000000000011</v>
      </c>
      <c r="O366">
        <v>25</v>
      </c>
      <c r="P366">
        <v>23.958333333333329</v>
      </c>
      <c r="Q366">
        <v>28.124999999999989</v>
      </c>
      <c r="S366">
        <v>114.87050960735181</v>
      </c>
      <c r="T366">
        <v>120.09189640768589</v>
      </c>
      <c r="U366">
        <v>114.87050960735181</v>
      </c>
      <c r="V366">
        <v>161.86299081035921</v>
      </c>
      <c r="W366">
        <v>22.916666666666679</v>
      </c>
      <c r="X366">
        <v>23.958333333333339</v>
      </c>
      <c r="Y366">
        <v>22.916666666666679</v>
      </c>
      <c r="Z366">
        <v>32.291666666666657</v>
      </c>
      <c r="AK366">
        <v>110.57692307692299</v>
      </c>
      <c r="AL366">
        <v>110.57692307692309</v>
      </c>
      <c r="AM366">
        <v>120.19230769230759</v>
      </c>
      <c r="AN366">
        <v>120.19230769230759</v>
      </c>
      <c r="AO366">
        <v>23.958333333333311</v>
      </c>
      <c r="AP366">
        <v>23.958333333333339</v>
      </c>
      <c r="AQ366">
        <v>26.04166666666665</v>
      </c>
      <c r="AR366">
        <v>26.04166666666665</v>
      </c>
    </row>
    <row r="367" spans="10:44" x14ac:dyDescent="0.2">
      <c r="J367">
        <v>151.22028192720381</v>
      </c>
      <c r="K367">
        <v>144.64548706080379</v>
      </c>
      <c r="L367">
        <v>177.51946139280469</v>
      </c>
      <c r="M367">
        <v>164.36987166000429</v>
      </c>
      <c r="N367">
        <v>23.958333333333329</v>
      </c>
      <c r="O367">
        <v>22.916666666666689</v>
      </c>
      <c r="P367">
        <v>28.125000000000039</v>
      </c>
      <c r="Q367">
        <v>26.041666666666679</v>
      </c>
      <c r="S367">
        <v>120.09189640768589</v>
      </c>
      <c r="T367">
        <v>99.206349206349159</v>
      </c>
      <c r="U367">
        <v>135.7560568086883</v>
      </c>
      <c r="V367">
        <v>135.7560568086883</v>
      </c>
      <c r="W367">
        <v>23.958333333333339</v>
      </c>
      <c r="X367">
        <v>19.791666666666661</v>
      </c>
      <c r="Y367">
        <v>27.083333333333321</v>
      </c>
      <c r="Z367">
        <v>27.083333333333321</v>
      </c>
      <c r="AK367">
        <v>115.3846153846155</v>
      </c>
      <c r="AL367">
        <v>110.57692307692309</v>
      </c>
      <c r="AM367">
        <v>115.3846153846155</v>
      </c>
      <c r="AN367">
        <v>120.19230769230759</v>
      </c>
      <c r="AO367">
        <v>25.000000000000021</v>
      </c>
      <c r="AP367">
        <v>23.958333333333339</v>
      </c>
      <c r="AQ367">
        <v>25.000000000000021</v>
      </c>
      <c r="AR367">
        <v>26.04166666666665</v>
      </c>
    </row>
    <row r="368" spans="10:44" x14ac:dyDescent="0.2">
      <c r="J368">
        <v>151.22028192720381</v>
      </c>
      <c r="K368">
        <v>144.64548706080359</v>
      </c>
      <c r="L368">
        <v>170.94466652640449</v>
      </c>
      <c r="M368">
        <v>164.36987166000429</v>
      </c>
      <c r="N368">
        <v>23.958333333333329</v>
      </c>
      <c r="O368">
        <v>22.91666666666665</v>
      </c>
      <c r="P368">
        <v>27.08333333333335</v>
      </c>
      <c r="Q368">
        <v>26.041666666666679</v>
      </c>
      <c r="S368">
        <v>120.09189640768589</v>
      </c>
      <c r="T368">
        <v>109.6491228070176</v>
      </c>
      <c r="U368">
        <v>135.7560568086883</v>
      </c>
      <c r="V368">
        <v>135.7560568086883</v>
      </c>
      <c r="W368">
        <v>23.958333333333339</v>
      </c>
      <c r="X368">
        <v>21.875000000000021</v>
      </c>
      <c r="Y368">
        <v>27.083333333333321</v>
      </c>
      <c r="Z368">
        <v>27.083333333333321</v>
      </c>
      <c r="AK368">
        <v>115.3846153846155</v>
      </c>
      <c r="AL368">
        <v>115.3846153846152</v>
      </c>
      <c r="AM368">
        <v>57.692307692307622</v>
      </c>
      <c r="AN368">
        <v>192.30769230769241</v>
      </c>
      <c r="AO368">
        <v>25.000000000000021</v>
      </c>
      <c r="AP368">
        <v>24.999999999999972</v>
      </c>
      <c r="AQ368">
        <v>12.49999999999998</v>
      </c>
      <c r="AR368">
        <v>41.666666666666679</v>
      </c>
    </row>
    <row r="369" spans="10:44" x14ac:dyDescent="0.2">
      <c r="J369">
        <v>157.79507679360401</v>
      </c>
      <c r="K369">
        <v>138.07069219440339</v>
      </c>
      <c r="L369">
        <v>164.36987166000429</v>
      </c>
      <c r="M369">
        <v>177.51946139280469</v>
      </c>
      <c r="N369">
        <v>25</v>
      </c>
      <c r="O369">
        <v>21.874999999999979</v>
      </c>
      <c r="P369">
        <v>26.041666666666679</v>
      </c>
      <c r="Q369">
        <v>28.125000000000039</v>
      </c>
      <c r="S369">
        <v>99.206349206349387</v>
      </c>
      <c r="T369">
        <v>135.7560568086883</v>
      </c>
      <c r="U369">
        <v>140.9774436090224</v>
      </c>
      <c r="V369">
        <v>120.09189640768589</v>
      </c>
      <c r="W369">
        <v>19.7916666666667</v>
      </c>
      <c r="X369">
        <v>27.083333333333321</v>
      </c>
      <c r="Y369">
        <v>28.124999999999979</v>
      </c>
      <c r="Z369">
        <v>23.958333333333339</v>
      </c>
      <c r="AK369">
        <v>168.26923076923089</v>
      </c>
      <c r="AL369">
        <v>144.23076923076911</v>
      </c>
      <c r="AM369">
        <v>129.80769230769241</v>
      </c>
      <c r="AO369">
        <v>36.458333333333371</v>
      </c>
      <c r="AP369">
        <v>31.249999999999961</v>
      </c>
      <c r="AQ369">
        <v>28.125000000000021</v>
      </c>
    </row>
    <row r="370" spans="10:44" x14ac:dyDescent="0.2">
      <c r="J370">
        <v>151.22028192720381</v>
      </c>
      <c r="K370">
        <v>144.64548706080359</v>
      </c>
      <c r="L370">
        <v>157.79507679360449</v>
      </c>
      <c r="M370">
        <v>170.94466652640401</v>
      </c>
      <c r="N370">
        <v>23.958333333333329</v>
      </c>
      <c r="O370">
        <v>22.91666666666665</v>
      </c>
      <c r="P370">
        <v>25.000000000000082</v>
      </c>
      <c r="Q370">
        <v>27.083333333333279</v>
      </c>
      <c r="S370">
        <v>135.7560568086883</v>
      </c>
      <c r="T370">
        <v>104.4277360066835</v>
      </c>
      <c r="U370">
        <v>125.31328320802</v>
      </c>
      <c r="V370">
        <v>146.19883040935659</v>
      </c>
      <c r="W370">
        <v>27.083333333333321</v>
      </c>
      <c r="X370">
        <v>20.833333333333361</v>
      </c>
      <c r="Y370">
        <v>25</v>
      </c>
      <c r="Z370">
        <v>29.166666666666639</v>
      </c>
      <c r="AK370">
        <v>149.03846153846141</v>
      </c>
      <c r="AL370">
        <v>72.115384615384755</v>
      </c>
      <c r="AM370">
        <v>120.19230769230759</v>
      </c>
      <c r="AN370">
        <v>120.19230769230759</v>
      </c>
      <c r="AO370">
        <v>32.291666666666643</v>
      </c>
      <c r="AP370">
        <v>15.62500000000003</v>
      </c>
      <c r="AQ370">
        <v>26.04166666666665</v>
      </c>
      <c r="AR370">
        <v>26.04166666666665</v>
      </c>
    </row>
    <row r="371" spans="10:44" x14ac:dyDescent="0.2">
      <c r="J371">
        <v>144.64548706080399</v>
      </c>
      <c r="K371">
        <v>151.2202819272043</v>
      </c>
      <c r="L371">
        <v>177.51946139280429</v>
      </c>
      <c r="M371">
        <v>164.36987166000381</v>
      </c>
      <c r="N371">
        <v>22.916666666666721</v>
      </c>
      <c r="O371">
        <v>23.9583333333334</v>
      </c>
      <c r="P371">
        <v>28.124999999999961</v>
      </c>
      <c r="Q371">
        <v>26.041666666666611</v>
      </c>
      <c r="S371">
        <v>109.6491228070176</v>
      </c>
      <c r="T371">
        <v>114.87050960735181</v>
      </c>
      <c r="U371">
        <v>146.19883040935659</v>
      </c>
      <c r="V371">
        <v>120.09189640768589</v>
      </c>
      <c r="W371">
        <v>21.875000000000021</v>
      </c>
      <c r="X371">
        <v>22.916666666666679</v>
      </c>
      <c r="Y371">
        <v>29.166666666666639</v>
      </c>
      <c r="Z371">
        <v>23.958333333333339</v>
      </c>
      <c r="AK371">
        <v>163.46153846153859</v>
      </c>
      <c r="AL371">
        <v>67.307692307692378</v>
      </c>
      <c r="AM371">
        <v>91.346153846153811</v>
      </c>
      <c r="AN371">
        <v>139.4230769230771</v>
      </c>
      <c r="AO371">
        <v>35.416666666666693</v>
      </c>
      <c r="AP371">
        <v>14.58333333333335</v>
      </c>
      <c r="AQ371">
        <v>19.791666666666661</v>
      </c>
      <c r="AR371">
        <v>30.208333333333371</v>
      </c>
    </row>
    <row r="372" spans="10:44" x14ac:dyDescent="0.2">
      <c r="J372">
        <v>144.64548706080399</v>
      </c>
      <c r="K372">
        <v>151.2202819272043</v>
      </c>
      <c r="L372">
        <v>170.94466652640401</v>
      </c>
      <c r="M372">
        <v>164.36987166000381</v>
      </c>
      <c r="N372">
        <v>22.916666666666721</v>
      </c>
      <c r="O372">
        <v>23.9583333333334</v>
      </c>
      <c r="P372">
        <v>27.083333333333279</v>
      </c>
      <c r="Q372">
        <v>26.041666666666611</v>
      </c>
      <c r="S372">
        <v>135.7560568086883</v>
      </c>
      <c r="T372">
        <v>104.4277360066835</v>
      </c>
      <c r="U372">
        <v>130.5346700083546</v>
      </c>
      <c r="V372">
        <v>135.7560568086883</v>
      </c>
      <c r="W372">
        <v>27.083333333333321</v>
      </c>
      <c r="X372">
        <v>20.833333333333361</v>
      </c>
      <c r="Y372">
        <v>26.04166666666675</v>
      </c>
      <c r="Z372">
        <v>27.083333333333321</v>
      </c>
      <c r="AK372">
        <v>144.23076923076911</v>
      </c>
      <c r="AL372">
        <v>144.23076923076911</v>
      </c>
      <c r="AM372">
        <v>192.30769230769241</v>
      </c>
      <c r="AO372">
        <v>31.249999999999961</v>
      </c>
      <c r="AP372">
        <v>31.249999999999961</v>
      </c>
      <c r="AQ372">
        <v>41.666666666666679</v>
      </c>
    </row>
    <row r="373" spans="10:44" x14ac:dyDescent="0.2">
      <c r="J373">
        <v>138.07069219440379</v>
      </c>
      <c r="K373">
        <v>151.2202819272043</v>
      </c>
      <c r="L373">
        <v>170.94466652640401</v>
      </c>
      <c r="M373">
        <v>177.51946139280429</v>
      </c>
      <c r="N373">
        <v>21.87500000000005</v>
      </c>
      <c r="O373">
        <v>23.9583333333334</v>
      </c>
      <c r="P373">
        <v>27.083333333333279</v>
      </c>
      <c r="Q373">
        <v>28.124999999999961</v>
      </c>
      <c r="S373">
        <v>120.0918964076855</v>
      </c>
      <c r="T373">
        <v>125.31328320802</v>
      </c>
      <c r="U373">
        <v>135.7560568086883</v>
      </c>
      <c r="V373">
        <v>135.7560568086883</v>
      </c>
      <c r="W373">
        <v>23.95833333333325</v>
      </c>
      <c r="X373">
        <v>25</v>
      </c>
      <c r="Y373">
        <v>27.083333333333321</v>
      </c>
      <c r="Z373">
        <v>27.083333333333321</v>
      </c>
      <c r="AK373">
        <v>168.26923076923049</v>
      </c>
      <c r="AL373">
        <v>144.23076923076951</v>
      </c>
      <c r="AM373">
        <v>129.80769230769241</v>
      </c>
      <c r="AO373">
        <v>36.458333333333272</v>
      </c>
      <c r="AP373">
        <v>31.25000000000006</v>
      </c>
      <c r="AQ373">
        <v>28.125000000000021</v>
      </c>
    </row>
    <row r="374" spans="10:44" x14ac:dyDescent="0.2">
      <c r="J374">
        <v>144.64548706080399</v>
      </c>
      <c r="K374">
        <v>144.64548706080399</v>
      </c>
      <c r="L374">
        <v>157.79507679360361</v>
      </c>
      <c r="M374">
        <v>164.36987166000381</v>
      </c>
      <c r="N374">
        <v>22.916666666666721</v>
      </c>
      <c r="O374">
        <v>22.916666666666721</v>
      </c>
      <c r="P374">
        <v>24.999999999999929</v>
      </c>
      <c r="Q374">
        <v>26.041666666666611</v>
      </c>
      <c r="S374">
        <v>120.0918964076855</v>
      </c>
      <c r="T374">
        <v>120.0918964076855</v>
      </c>
      <c r="U374">
        <v>114.87050960735181</v>
      </c>
      <c r="V374">
        <v>146.19883040935659</v>
      </c>
      <c r="W374">
        <v>23.95833333333325</v>
      </c>
      <c r="X374">
        <v>23.95833333333325</v>
      </c>
      <c r="Y374">
        <v>22.916666666666679</v>
      </c>
      <c r="Z374">
        <v>29.166666666666639</v>
      </c>
      <c r="AK374">
        <v>110.5769230769229</v>
      </c>
      <c r="AL374">
        <v>110.5769230769229</v>
      </c>
      <c r="AM374">
        <v>120.19230769230759</v>
      </c>
      <c r="AN374">
        <v>120.19230769230759</v>
      </c>
      <c r="AO374">
        <v>23.95833333333329</v>
      </c>
      <c r="AP374">
        <v>23.95833333333329</v>
      </c>
      <c r="AQ374">
        <v>26.04166666666665</v>
      </c>
      <c r="AR374">
        <v>26.04166666666665</v>
      </c>
    </row>
    <row r="375" spans="10:44" x14ac:dyDescent="0.2">
      <c r="J375">
        <v>151.2202819272043</v>
      </c>
      <c r="K375">
        <v>151.2202819272043</v>
      </c>
      <c r="L375">
        <v>177.51946139280429</v>
      </c>
      <c r="M375">
        <v>164.36987166000381</v>
      </c>
      <c r="N375">
        <v>23.9583333333334</v>
      </c>
      <c r="O375">
        <v>23.9583333333334</v>
      </c>
      <c r="P375">
        <v>28.124999999999961</v>
      </c>
      <c r="Q375">
        <v>26.041666666666611</v>
      </c>
      <c r="S375">
        <v>130.5346700083546</v>
      </c>
      <c r="T375">
        <v>120.0918964076855</v>
      </c>
      <c r="U375">
        <v>125.31328320802</v>
      </c>
      <c r="V375">
        <v>120.0918964076855</v>
      </c>
      <c r="W375">
        <v>26.04166666666675</v>
      </c>
      <c r="X375">
        <v>23.95833333333325</v>
      </c>
      <c r="Y375">
        <v>25</v>
      </c>
      <c r="Z375">
        <v>23.95833333333325</v>
      </c>
      <c r="AK375">
        <v>115.3846153846152</v>
      </c>
      <c r="AL375">
        <v>110.5769230769229</v>
      </c>
      <c r="AM375">
        <v>115.3846153846152</v>
      </c>
      <c r="AN375">
        <v>120.19230769230759</v>
      </c>
      <c r="AO375">
        <v>24.999999999999972</v>
      </c>
      <c r="AP375">
        <v>23.95833333333329</v>
      </c>
      <c r="AQ375">
        <v>24.999999999999972</v>
      </c>
      <c r="AR375">
        <v>26.04166666666665</v>
      </c>
    </row>
    <row r="376" spans="10:44" x14ac:dyDescent="0.2">
      <c r="J376">
        <v>151.2202819272043</v>
      </c>
      <c r="K376">
        <v>144.64548706080399</v>
      </c>
      <c r="L376">
        <v>170.94466652640401</v>
      </c>
      <c r="M376">
        <v>170.94466652640401</v>
      </c>
      <c r="N376">
        <v>23.9583333333334</v>
      </c>
      <c r="O376">
        <v>22.916666666666721</v>
      </c>
      <c r="P376">
        <v>27.083333333333279</v>
      </c>
      <c r="Q376">
        <v>27.083333333333279</v>
      </c>
      <c r="S376">
        <v>125.31328320802</v>
      </c>
      <c r="T376">
        <v>88.763575605680671</v>
      </c>
      <c r="U376">
        <v>151.42021720969109</v>
      </c>
      <c r="V376">
        <v>140.97744360902291</v>
      </c>
      <c r="W376">
        <v>25</v>
      </c>
      <c r="X376">
        <v>17.7083333333333</v>
      </c>
      <c r="Y376">
        <v>30.208333333333389</v>
      </c>
      <c r="Z376">
        <v>28.125000000000071</v>
      </c>
      <c r="AK376">
        <v>115.3846153846152</v>
      </c>
      <c r="AL376">
        <v>115.3846153846152</v>
      </c>
      <c r="AM376">
        <v>57.692307692307622</v>
      </c>
      <c r="AN376">
        <v>192.30769230769241</v>
      </c>
      <c r="AO376">
        <v>24.999999999999972</v>
      </c>
      <c r="AP376">
        <v>24.999999999999972</v>
      </c>
      <c r="AQ376">
        <v>12.49999999999998</v>
      </c>
      <c r="AR376">
        <v>41.666666666666679</v>
      </c>
    </row>
    <row r="377" spans="10:44" x14ac:dyDescent="0.2">
      <c r="J377">
        <v>144.64548706080311</v>
      </c>
      <c r="K377">
        <v>151.2202819272043</v>
      </c>
      <c r="L377">
        <v>164.36987166000469</v>
      </c>
      <c r="M377">
        <v>170.94466652640401</v>
      </c>
      <c r="N377">
        <v>22.916666666666579</v>
      </c>
      <c r="O377">
        <v>23.9583333333334</v>
      </c>
      <c r="P377">
        <v>26.04166666666675</v>
      </c>
      <c r="Q377">
        <v>27.083333333333279</v>
      </c>
      <c r="S377">
        <v>83.542188805346996</v>
      </c>
      <c r="T377">
        <v>140.97744360902291</v>
      </c>
      <c r="U377">
        <v>140.97744360902291</v>
      </c>
      <c r="V377">
        <v>130.5346700083546</v>
      </c>
      <c r="W377">
        <v>16.666666666666728</v>
      </c>
      <c r="X377">
        <v>28.125000000000071</v>
      </c>
      <c r="Y377">
        <v>28.125000000000071</v>
      </c>
      <c r="Z377">
        <v>26.04166666666675</v>
      </c>
      <c r="AK377">
        <v>168.26923076923049</v>
      </c>
      <c r="AL377">
        <v>144.23076923076951</v>
      </c>
      <c r="AM377">
        <v>129.80769230769241</v>
      </c>
      <c r="AO377">
        <v>36.458333333333272</v>
      </c>
      <c r="AP377">
        <v>31.25000000000006</v>
      </c>
      <c r="AQ377">
        <v>28.125000000000021</v>
      </c>
    </row>
    <row r="378" spans="10:44" x14ac:dyDescent="0.2">
      <c r="J378">
        <v>144.64548706080311</v>
      </c>
      <c r="K378">
        <v>144.64548706080311</v>
      </c>
      <c r="L378">
        <v>164.36987166000469</v>
      </c>
      <c r="M378">
        <v>157.79507679360361</v>
      </c>
      <c r="N378">
        <v>22.916666666666579</v>
      </c>
      <c r="O378">
        <v>22.916666666666579</v>
      </c>
      <c r="P378">
        <v>26.04166666666675</v>
      </c>
      <c r="Q378">
        <v>24.999999999999929</v>
      </c>
      <c r="S378">
        <v>120.0918964076855</v>
      </c>
      <c r="T378">
        <v>125.31328320802</v>
      </c>
      <c r="U378">
        <v>109.64912280701721</v>
      </c>
      <c r="V378">
        <v>151.42021720969109</v>
      </c>
      <c r="W378">
        <v>23.95833333333325</v>
      </c>
      <c r="X378">
        <v>25</v>
      </c>
      <c r="Y378">
        <v>21.874999999999929</v>
      </c>
      <c r="Z378">
        <v>30.208333333333389</v>
      </c>
      <c r="AK378">
        <v>149.03846153846189</v>
      </c>
      <c r="AL378">
        <v>72.115384615384755</v>
      </c>
      <c r="AM378">
        <v>120.19230769230759</v>
      </c>
      <c r="AN378">
        <v>120.19230769230759</v>
      </c>
      <c r="AO378">
        <v>32.291666666666742</v>
      </c>
      <c r="AP378">
        <v>15.62500000000003</v>
      </c>
      <c r="AQ378">
        <v>26.04166666666665</v>
      </c>
      <c r="AR378">
        <v>26.04166666666665</v>
      </c>
    </row>
    <row r="379" spans="10:44" x14ac:dyDescent="0.2">
      <c r="J379">
        <v>151.2202819272043</v>
      </c>
      <c r="K379">
        <v>144.64548706080311</v>
      </c>
      <c r="L379">
        <v>170.94466652640401</v>
      </c>
      <c r="M379">
        <v>170.94466652640401</v>
      </c>
      <c r="N379">
        <v>23.9583333333334</v>
      </c>
      <c r="O379">
        <v>22.916666666666579</v>
      </c>
      <c r="P379">
        <v>27.083333333333279</v>
      </c>
      <c r="Q379">
        <v>27.083333333333279</v>
      </c>
      <c r="S379">
        <v>109.64912280701721</v>
      </c>
      <c r="T379">
        <v>125.31328320802</v>
      </c>
      <c r="U379">
        <v>125.31328320802</v>
      </c>
      <c r="V379">
        <v>109.6491228070181</v>
      </c>
      <c r="W379">
        <v>21.874999999999929</v>
      </c>
      <c r="X379">
        <v>25</v>
      </c>
      <c r="Y379">
        <v>25</v>
      </c>
      <c r="Z379">
        <v>21.87500000000011</v>
      </c>
      <c r="AK379">
        <v>163.46153846153811</v>
      </c>
      <c r="AL379">
        <v>67.307692307692378</v>
      </c>
      <c r="AM379">
        <v>91.346153846154266</v>
      </c>
      <c r="AN379">
        <v>139.42307692307801</v>
      </c>
      <c r="AO379">
        <v>35.416666666666593</v>
      </c>
      <c r="AP379">
        <v>14.58333333333335</v>
      </c>
      <c r="AQ379">
        <v>19.79166666666676</v>
      </c>
      <c r="AR379">
        <v>30.208333333333581</v>
      </c>
    </row>
    <row r="380" spans="10:44" ht="31" x14ac:dyDescent="0.35">
      <c r="J380" s="26"/>
    </row>
    <row r="381" spans="10:44" ht="31" x14ac:dyDescent="0.35">
      <c r="J381" s="9" t="s">
        <v>85</v>
      </c>
      <c r="K381" s="10"/>
      <c r="L381" s="10"/>
      <c r="M381" s="10"/>
      <c r="N381" s="10"/>
      <c r="O381" s="10"/>
      <c r="P381" s="10"/>
      <c r="Q381" s="10"/>
      <c r="S381" s="1" t="s">
        <v>117</v>
      </c>
      <c r="T381" s="2"/>
      <c r="U381" s="2"/>
      <c r="V381" s="2"/>
      <c r="W381" s="2"/>
      <c r="X381" s="2"/>
      <c r="Y381" s="2"/>
      <c r="Z381" s="2"/>
      <c r="AK381" s="16" t="s">
        <v>160</v>
      </c>
      <c r="AL381" s="17"/>
      <c r="AM381" s="17"/>
      <c r="AN381" s="17"/>
      <c r="AO381" s="17"/>
      <c r="AP381" s="17"/>
      <c r="AQ381" s="18"/>
      <c r="AR381" s="17"/>
    </row>
    <row r="382" spans="10:44" ht="31" x14ac:dyDescent="0.35">
      <c r="J382" s="3" t="s">
        <v>2</v>
      </c>
      <c r="N382" s="23" t="s">
        <v>18</v>
      </c>
      <c r="O382" s="6" t="s">
        <v>86</v>
      </c>
      <c r="P382" s="6"/>
      <c r="Q382" s="6"/>
      <c r="S382" s="3" t="s">
        <v>2</v>
      </c>
      <c r="W382" s="23" t="s">
        <v>18</v>
      </c>
      <c r="X382" s="24" t="s">
        <v>118</v>
      </c>
      <c r="AK382" s="3" t="s">
        <v>2</v>
      </c>
      <c r="AO382" s="6" t="s">
        <v>3</v>
      </c>
      <c r="AP382" s="6" t="s">
        <v>144</v>
      </c>
      <c r="AQ382" s="6"/>
      <c r="AR382" s="6"/>
    </row>
    <row r="383" spans="10:44" x14ac:dyDescent="0.2">
      <c r="J383" s="7">
        <v>1</v>
      </c>
      <c r="K383" s="6">
        <v>2</v>
      </c>
      <c r="L383" s="6">
        <v>3</v>
      </c>
      <c r="M383" s="6">
        <v>4</v>
      </c>
      <c r="N383" s="7">
        <v>1</v>
      </c>
      <c r="O383" s="6">
        <v>2</v>
      </c>
      <c r="P383" s="6">
        <v>3</v>
      </c>
      <c r="Q383" s="6">
        <v>4</v>
      </c>
      <c r="S383" s="7">
        <v>1</v>
      </c>
      <c r="T383" s="6">
        <v>2</v>
      </c>
      <c r="U383" s="6">
        <v>3</v>
      </c>
      <c r="V383" s="6">
        <v>4</v>
      </c>
      <c r="W383" s="7">
        <v>1</v>
      </c>
      <c r="X383" s="6">
        <v>2</v>
      </c>
      <c r="Y383" s="6">
        <v>3</v>
      </c>
      <c r="Z383" s="6">
        <v>4</v>
      </c>
      <c r="AK383" s="7">
        <v>1</v>
      </c>
      <c r="AL383" s="6">
        <v>2</v>
      </c>
      <c r="AM383" s="6">
        <v>3</v>
      </c>
      <c r="AN383" s="6">
        <v>4</v>
      </c>
      <c r="AO383" s="7">
        <v>1</v>
      </c>
      <c r="AP383" s="6">
        <v>2</v>
      </c>
      <c r="AQ383" s="6">
        <v>3</v>
      </c>
      <c r="AR383" s="6">
        <v>4</v>
      </c>
    </row>
    <row r="384" spans="10:44" x14ac:dyDescent="0.2">
      <c r="J384">
        <v>162.98185941043079</v>
      </c>
      <c r="K384">
        <v>184.24036281179141</v>
      </c>
      <c r="L384">
        <v>184.2403628117913</v>
      </c>
      <c r="M384">
        <v>184.2403628117913</v>
      </c>
      <c r="N384">
        <v>23.958333333333329</v>
      </c>
      <c r="O384">
        <v>27.083333333333329</v>
      </c>
      <c r="P384">
        <v>27.083333333333329</v>
      </c>
      <c r="Q384">
        <v>27.083333333333329</v>
      </c>
      <c r="S384" s="27">
        <v>126.41589999999999</v>
      </c>
      <c r="T384" s="27">
        <v>101.1327</v>
      </c>
      <c r="U384" s="27">
        <v>131.4725</v>
      </c>
      <c r="V384" s="27">
        <v>136.5291</v>
      </c>
      <c r="W384" s="27">
        <v>26.04167</v>
      </c>
      <c r="X384" s="27">
        <v>20.83333</v>
      </c>
      <c r="Y384" s="27">
        <v>27.08333</v>
      </c>
      <c r="Z384" s="27">
        <v>28.125</v>
      </c>
      <c r="AK384">
        <v>149.03846153846149</v>
      </c>
      <c r="AL384">
        <v>144.2307692307692</v>
      </c>
      <c r="AM384">
        <v>168.2692307692308</v>
      </c>
      <c r="AO384">
        <v>32.291666666666657</v>
      </c>
      <c r="AP384">
        <v>31.249999999999989</v>
      </c>
      <c r="AQ384">
        <v>36.458333333333329</v>
      </c>
    </row>
    <row r="385" spans="10:43" x14ac:dyDescent="0.2">
      <c r="J385">
        <v>141.72335600907019</v>
      </c>
      <c r="K385">
        <v>170.06802721088451</v>
      </c>
      <c r="L385">
        <v>191.3265306122448</v>
      </c>
      <c r="M385">
        <v>177.1541950113378</v>
      </c>
      <c r="N385">
        <v>20.833333333333329</v>
      </c>
      <c r="O385">
        <v>25.000000000000021</v>
      </c>
      <c r="P385">
        <v>28.124999999999989</v>
      </c>
      <c r="Q385">
        <v>26.041666666666661</v>
      </c>
      <c r="S385" s="27">
        <v>101.1327</v>
      </c>
      <c r="T385" s="27">
        <v>121.3592</v>
      </c>
      <c r="U385" s="27">
        <v>131.4725</v>
      </c>
      <c r="V385" s="27">
        <v>126.41589999999999</v>
      </c>
      <c r="W385" s="27">
        <v>20.83333</v>
      </c>
      <c r="X385" s="27">
        <v>25</v>
      </c>
      <c r="Y385" s="27">
        <v>27.08333</v>
      </c>
      <c r="Z385" s="27">
        <v>26.04167</v>
      </c>
      <c r="AK385">
        <v>177.88461538461539</v>
      </c>
      <c r="AL385">
        <v>139.42307692307691</v>
      </c>
      <c r="AM385">
        <v>144.23076923076931</v>
      </c>
      <c r="AO385">
        <v>38.541666666666671</v>
      </c>
      <c r="AP385">
        <v>30.208333333333329</v>
      </c>
      <c r="AQ385">
        <v>31.250000000000011</v>
      </c>
    </row>
    <row r="386" spans="10:43" x14ac:dyDescent="0.2">
      <c r="J386">
        <v>155.89569160997729</v>
      </c>
      <c r="K386">
        <v>162.98185941043079</v>
      </c>
      <c r="L386">
        <v>184.2403628117913</v>
      </c>
      <c r="M386">
        <v>177.1541950113378</v>
      </c>
      <c r="N386">
        <v>22.916666666666671</v>
      </c>
      <c r="O386">
        <v>23.958333333333339</v>
      </c>
      <c r="P386">
        <v>27.083333333333329</v>
      </c>
      <c r="Q386">
        <v>26.041666666666661</v>
      </c>
      <c r="S386" s="27">
        <v>121.3592</v>
      </c>
      <c r="T386" s="27">
        <v>121.3592</v>
      </c>
      <c r="U386" s="27">
        <v>111.246</v>
      </c>
      <c r="V386" s="27">
        <v>141.58580000000001</v>
      </c>
      <c r="W386" s="27">
        <v>25</v>
      </c>
      <c r="X386" s="27">
        <v>25</v>
      </c>
      <c r="Y386" s="27">
        <v>22.91667</v>
      </c>
      <c r="Z386" s="27">
        <v>29.16667</v>
      </c>
      <c r="AK386">
        <v>187.5</v>
      </c>
      <c r="AL386">
        <v>134.6153846153845</v>
      </c>
      <c r="AM386">
        <v>139.42307692307691</v>
      </c>
      <c r="AO386">
        <v>40.625</v>
      </c>
      <c r="AP386">
        <v>29.16666666666665</v>
      </c>
      <c r="AQ386">
        <v>30.208333333333329</v>
      </c>
    </row>
    <row r="387" spans="10:43" x14ac:dyDescent="0.2">
      <c r="J387">
        <v>177.1541950113378</v>
      </c>
      <c r="K387">
        <v>148.80952380952391</v>
      </c>
      <c r="L387">
        <v>184.2403628117913</v>
      </c>
      <c r="M387">
        <v>177.1541950113378</v>
      </c>
      <c r="N387">
        <v>26.041666666666661</v>
      </c>
      <c r="O387">
        <v>21.875000000000011</v>
      </c>
      <c r="P387">
        <v>27.083333333333329</v>
      </c>
      <c r="Q387">
        <v>26.041666666666661</v>
      </c>
      <c r="S387" s="27">
        <v>106.1893</v>
      </c>
      <c r="T387" s="27">
        <v>106.1893</v>
      </c>
      <c r="U387" s="27">
        <v>136.5291</v>
      </c>
      <c r="V387" s="27">
        <v>136.5291</v>
      </c>
      <c r="W387" s="27">
        <v>21.875</v>
      </c>
      <c r="X387" s="27">
        <v>21.875</v>
      </c>
      <c r="Y387" s="27">
        <v>28.125</v>
      </c>
      <c r="Z387" s="27">
        <v>28.125</v>
      </c>
      <c r="AK387">
        <v>163.46153846153831</v>
      </c>
      <c r="AL387">
        <v>115.3846153846155</v>
      </c>
      <c r="AM387">
        <v>182.69230769230759</v>
      </c>
      <c r="AO387">
        <v>35.416666666666643</v>
      </c>
      <c r="AP387">
        <v>25.000000000000021</v>
      </c>
      <c r="AQ387">
        <v>39.583333333333307</v>
      </c>
    </row>
    <row r="388" spans="10:43" x14ac:dyDescent="0.2">
      <c r="J388">
        <v>148.80952380952391</v>
      </c>
      <c r="K388">
        <v>170.06802721088431</v>
      </c>
      <c r="L388">
        <v>184.2403628117913</v>
      </c>
      <c r="M388">
        <v>177.1541950113378</v>
      </c>
      <c r="N388">
        <v>21.875000000000011</v>
      </c>
      <c r="O388">
        <v>25</v>
      </c>
      <c r="P388">
        <v>27.083333333333329</v>
      </c>
      <c r="Q388">
        <v>26.041666666666661</v>
      </c>
      <c r="S388" s="27">
        <v>106.1893</v>
      </c>
      <c r="T388" s="27">
        <v>106.1893</v>
      </c>
      <c r="U388" s="27">
        <v>136.5291</v>
      </c>
      <c r="V388" s="27">
        <v>131.4725</v>
      </c>
      <c r="W388" s="27">
        <v>21.875</v>
      </c>
      <c r="X388" s="27">
        <v>21.875</v>
      </c>
      <c r="Y388" s="27">
        <v>28.125</v>
      </c>
      <c r="Z388" s="27">
        <v>27.08333</v>
      </c>
      <c r="AK388">
        <v>149.03846153846141</v>
      </c>
      <c r="AL388">
        <v>144.23076923076931</v>
      </c>
      <c r="AM388">
        <v>168.26923076923089</v>
      </c>
      <c r="AO388">
        <v>32.291666666666643</v>
      </c>
      <c r="AP388">
        <v>31.250000000000011</v>
      </c>
      <c r="AQ388">
        <v>36.458333333333371</v>
      </c>
    </row>
    <row r="389" spans="10:43" x14ac:dyDescent="0.2">
      <c r="J389">
        <v>155.89569160997729</v>
      </c>
      <c r="K389">
        <v>170.06802721088431</v>
      </c>
      <c r="L389">
        <v>177.1541950113378</v>
      </c>
      <c r="M389">
        <v>177.1541950113378</v>
      </c>
      <c r="N389">
        <v>22.916666666666671</v>
      </c>
      <c r="O389">
        <v>25</v>
      </c>
      <c r="P389">
        <v>26.041666666666661</v>
      </c>
      <c r="Q389">
        <v>26.041666666666661</v>
      </c>
      <c r="S389" s="27">
        <v>96.076049999999995</v>
      </c>
      <c r="T389" s="27">
        <v>141.58580000000001</v>
      </c>
      <c r="U389" s="27">
        <v>131.4725</v>
      </c>
      <c r="V389" s="27">
        <v>131.4725</v>
      </c>
      <c r="W389" s="27">
        <v>19.79167</v>
      </c>
      <c r="X389" s="27">
        <v>29.16667</v>
      </c>
      <c r="Y389" s="27">
        <v>27.08333</v>
      </c>
      <c r="Z389" s="27">
        <v>27.08333</v>
      </c>
      <c r="AK389">
        <v>177.88461538461519</v>
      </c>
      <c r="AL389">
        <v>134.61538461538481</v>
      </c>
      <c r="AM389">
        <v>149.03846153846141</v>
      </c>
      <c r="AO389">
        <v>38.541666666666643</v>
      </c>
      <c r="AP389">
        <v>29.1666666666667</v>
      </c>
      <c r="AQ389">
        <v>32.291666666666643</v>
      </c>
    </row>
    <row r="390" spans="10:43" x14ac:dyDescent="0.2">
      <c r="J390">
        <v>155.89569160997689</v>
      </c>
      <c r="K390">
        <v>170.06802721088391</v>
      </c>
      <c r="L390">
        <v>177.1541950113378</v>
      </c>
      <c r="M390">
        <v>170.06802721088479</v>
      </c>
      <c r="N390">
        <v>22.9166666666666</v>
      </c>
      <c r="O390">
        <v>24.999999999999929</v>
      </c>
      <c r="P390">
        <v>26.041666666666661</v>
      </c>
      <c r="Q390">
        <v>25.000000000000071</v>
      </c>
      <c r="S390" s="27">
        <v>106.1893</v>
      </c>
      <c r="T390" s="27">
        <v>111.246</v>
      </c>
      <c r="U390" s="27">
        <v>116.3026</v>
      </c>
      <c r="V390" s="27">
        <v>136.5291</v>
      </c>
      <c r="W390" s="27">
        <v>21.875</v>
      </c>
      <c r="X390" s="27">
        <v>22.91667</v>
      </c>
      <c r="Y390" s="27">
        <v>23.95833</v>
      </c>
      <c r="Z390" s="27">
        <v>28.125</v>
      </c>
      <c r="AK390">
        <v>187.5</v>
      </c>
      <c r="AL390">
        <v>120.19230769230759</v>
      </c>
      <c r="AM390">
        <v>153.84615384615381</v>
      </c>
      <c r="AO390">
        <v>40.625</v>
      </c>
      <c r="AP390">
        <v>26.04166666666665</v>
      </c>
      <c r="AQ390">
        <v>33.333333333333329</v>
      </c>
    </row>
    <row r="391" spans="10:43" x14ac:dyDescent="0.2">
      <c r="J391">
        <v>177.1541950113378</v>
      </c>
      <c r="K391">
        <v>141.7233560090699</v>
      </c>
      <c r="L391">
        <v>184.24036281179181</v>
      </c>
      <c r="M391">
        <v>177.1541950113378</v>
      </c>
      <c r="N391">
        <v>26.041666666666661</v>
      </c>
      <c r="O391">
        <v>20.833333333333279</v>
      </c>
      <c r="P391">
        <v>27.0833333333334</v>
      </c>
      <c r="Q391">
        <v>26.041666666666661</v>
      </c>
      <c r="S391" s="27">
        <v>111.246</v>
      </c>
      <c r="T391" s="27">
        <v>111.246</v>
      </c>
      <c r="U391" s="27">
        <v>136.5291</v>
      </c>
      <c r="V391" s="27">
        <v>131.4725</v>
      </c>
      <c r="W391" s="27">
        <v>22.91667</v>
      </c>
      <c r="X391" s="27">
        <v>22.91667</v>
      </c>
      <c r="Y391" s="27">
        <v>28.125</v>
      </c>
      <c r="Z391" s="27">
        <v>27.08333</v>
      </c>
      <c r="AK391">
        <v>182.69230769230759</v>
      </c>
      <c r="AL391">
        <v>125</v>
      </c>
      <c r="AM391">
        <v>153.84615384615381</v>
      </c>
      <c r="AO391">
        <v>39.583333333333307</v>
      </c>
      <c r="AP391">
        <v>27.083333333333329</v>
      </c>
      <c r="AQ391">
        <v>33.333333333333329</v>
      </c>
    </row>
    <row r="392" spans="10:43" x14ac:dyDescent="0.2">
      <c r="J392">
        <v>148.80952380952391</v>
      </c>
      <c r="K392">
        <v>177.1541950113378</v>
      </c>
      <c r="L392">
        <v>170.06802721088391</v>
      </c>
      <c r="M392">
        <v>177.1541950113378</v>
      </c>
      <c r="N392">
        <v>21.875000000000011</v>
      </c>
      <c r="O392">
        <v>26.041666666666661</v>
      </c>
      <c r="P392">
        <v>24.999999999999929</v>
      </c>
      <c r="Q392">
        <v>26.041666666666661</v>
      </c>
      <c r="S392" s="27">
        <v>106.1893</v>
      </c>
      <c r="T392" s="27">
        <v>106.1893</v>
      </c>
      <c r="U392" s="27">
        <v>126.41589999999999</v>
      </c>
      <c r="V392" s="27">
        <v>136.5291</v>
      </c>
      <c r="W392" s="27">
        <v>21.875</v>
      </c>
      <c r="X392" s="27">
        <v>21.875</v>
      </c>
      <c r="Y392" s="27">
        <v>26.04167</v>
      </c>
      <c r="Z392" s="27">
        <v>28.125</v>
      </c>
      <c r="AK392">
        <v>149.03846153846141</v>
      </c>
      <c r="AL392">
        <v>144.23076923076911</v>
      </c>
      <c r="AM392">
        <v>168.26923076923089</v>
      </c>
      <c r="AO392">
        <v>32.291666666666643</v>
      </c>
      <c r="AP392">
        <v>31.249999999999961</v>
      </c>
      <c r="AQ392">
        <v>36.458333333333371</v>
      </c>
    </row>
    <row r="393" spans="10:43" x14ac:dyDescent="0.2">
      <c r="J393">
        <v>148.80952380952391</v>
      </c>
      <c r="K393">
        <v>170.06802721088391</v>
      </c>
      <c r="L393">
        <v>184.24036281179181</v>
      </c>
      <c r="M393">
        <v>184.24036281179181</v>
      </c>
      <c r="N393">
        <v>21.875000000000011</v>
      </c>
      <c r="O393">
        <v>24.999999999999929</v>
      </c>
      <c r="P393">
        <v>27.0833333333334</v>
      </c>
      <c r="Q393">
        <v>27.0833333333334</v>
      </c>
      <c r="S393" s="27">
        <v>121.3592</v>
      </c>
      <c r="T393" s="27">
        <v>116.3026</v>
      </c>
      <c r="U393" s="27">
        <v>126.41589999999999</v>
      </c>
      <c r="V393" s="27">
        <v>126.41589999999999</v>
      </c>
      <c r="W393" s="27">
        <v>25</v>
      </c>
      <c r="X393" s="27">
        <v>23.95833</v>
      </c>
      <c r="Y393" s="27">
        <v>26.04167</v>
      </c>
      <c r="Z393" s="27">
        <v>26.04167</v>
      </c>
      <c r="AK393">
        <v>177.88461538461519</v>
      </c>
      <c r="AL393">
        <v>120.19230769230759</v>
      </c>
      <c r="AM393">
        <v>163.46153846153811</v>
      </c>
      <c r="AO393">
        <v>38.541666666666643</v>
      </c>
      <c r="AP393">
        <v>26.04166666666665</v>
      </c>
      <c r="AQ393">
        <v>35.416666666666593</v>
      </c>
    </row>
    <row r="394" spans="10:43" x14ac:dyDescent="0.2">
      <c r="J394">
        <v>141.7233560090699</v>
      </c>
      <c r="K394">
        <v>162.98185941043079</v>
      </c>
      <c r="L394">
        <v>198.4126984126988</v>
      </c>
      <c r="M394">
        <v>177.1541950113378</v>
      </c>
      <c r="N394">
        <v>20.833333333333279</v>
      </c>
      <c r="O394">
        <v>23.958333333333339</v>
      </c>
      <c r="P394">
        <v>29.166666666666721</v>
      </c>
      <c r="Q394">
        <v>26.041666666666661</v>
      </c>
      <c r="S394" s="27">
        <v>116.3026</v>
      </c>
      <c r="T394" s="27">
        <v>116.3026</v>
      </c>
      <c r="U394" s="27">
        <v>116.3026</v>
      </c>
      <c r="V394" s="27">
        <v>136.5291</v>
      </c>
      <c r="W394" s="27">
        <v>23.95833</v>
      </c>
      <c r="X394" s="27">
        <v>23.95833</v>
      </c>
      <c r="Y394" s="27">
        <v>23.95833</v>
      </c>
      <c r="Z394" s="27">
        <v>28.125</v>
      </c>
      <c r="AK394">
        <v>187.5</v>
      </c>
      <c r="AL394">
        <v>120.19230769230759</v>
      </c>
      <c r="AM394">
        <v>153.84615384615429</v>
      </c>
      <c r="AO394">
        <v>40.625</v>
      </c>
      <c r="AP394">
        <v>26.04166666666665</v>
      </c>
      <c r="AQ394">
        <v>33.333333333333428</v>
      </c>
    </row>
    <row r="395" spans="10:43" x14ac:dyDescent="0.2">
      <c r="J395">
        <v>134.63718820861689</v>
      </c>
      <c r="K395">
        <v>177.1541950113378</v>
      </c>
      <c r="L395">
        <v>177.1541950113378</v>
      </c>
      <c r="M395">
        <v>184.24036281179181</v>
      </c>
      <c r="N395">
        <v>19.791666666666679</v>
      </c>
      <c r="O395">
        <v>26.041666666666661</v>
      </c>
      <c r="P395">
        <v>26.041666666666661</v>
      </c>
      <c r="Q395">
        <v>27.0833333333334</v>
      </c>
      <c r="S395" s="27">
        <v>111.246</v>
      </c>
      <c r="T395" s="27">
        <v>111.246</v>
      </c>
      <c r="U395" s="27">
        <v>131.4725</v>
      </c>
      <c r="V395" s="27">
        <v>131.4725</v>
      </c>
      <c r="W395" s="27">
        <v>22.91667</v>
      </c>
      <c r="X395" s="27">
        <v>22.91667</v>
      </c>
      <c r="Y395" s="27">
        <v>27.08333</v>
      </c>
      <c r="Z395" s="27">
        <v>27.08333</v>
      </c>
      <c r="AK395">
        <v>187.5</v>
      </c>
      <c r="AL395">
        <v>105.7692307692305</v>
      </c>
      <c r="AM395">
        <v>168.26923076923049</v>
      </c>
      <c r="AO395">
        <v>40.625</v>
      </c>
      <c r="AP395">
        <v>22.9166666666666</v>
      </c>
      <c r="AQ395">
        <v>36.458333333333272</v>
      </c>
    </row>
    <row r="396" spans="10:43" x14ac:dyDescent="0.2">
      <c r="J396">
        <v>162.98185941043079</v>
      </c>
      <c r="K396">
        <v>148.80952380952289</v>
      </c>
      <c r="L396">
        <v>198.41269841269789</v>
      </c>
      <c r="M396">
        <v>155.8956916099778</v>
      </c>
      <c r="N396">
        <v>23.958333333333339</v>
      </c>
      <c r="O396">
        <v>21.874999999999879</v>
      </c>
      <c r="P396">
        <v>29.16666666666659</v>
      </c>
      <c r="Q396">
        <v>22.916666666666739</v>
      </c>
      <c r="S396" s="27">
        <v>111.246</v>
      </c>
      <c r="T396" s="27">
        <v>111.246</v>
      </c>
      <c r="U396" s="27">
        <v>136.5291</v>
      </c>
      <c r="V396" s="27">
        <v>121.3592</v>
      </c>
      <c r="W396" s="27">
        <v>22.91667</v>
      </c>
      <c r="X396" s="27">
        <v>22.91667</v>
      </c>
      <c r="Y396" s="27">
        <v>28.125</v>
      </c>
      <c r="Z396" s="27">
        <v>25</v>
      </c>
      <c r="AK396">
        <v>149.03846153846189</v>
      </c>
      <c r="AL396">
        <v>144.23076923076951</v>
      </c>
      <c r="AM396">
        <v>168.26923076923049</v>
      </c>
      <c r="AO396">
        <v>32.291666666666742</v>
      </c>
      <c r="AP396">
        <v>31.25000000000006</v>
      </c>
      <c r="AQ396">
        <v>36.458333333333272</v>
      </c>
    </row>
    <row r="397" spans="10:43" x14ac:dyDescent="0.2">
      <c r="J397">
        <v>148.80952380952289</v>
      </c>
      <c r="K397">
        <v>155.8956916099778</v>
      </c>
      <c r="L397">
        <v>191.3265306122448</v>
      </c>
      <c r="M397">
        <v>184.24036281179181</v>
      </c>
      <c r="N397">
        <v>21.874999999999879</v>
      </c>
      <c r="O397">
        <v>22.916666666666739</v>
      </c>
      <c r="P397">
        <v>28.124999999999989</v>
      </c>
      <c r="Q397">
        <v>27.0833333333334</v>
      </c>
      <c r="S397" s="27">
        <v>106.1893</v>
      </c>
      <c r="T397" s="27">
        <v>126.41589999999999</v>
      </c>
      <c r="U397" s="27">
        <v>146.64240000000001</v>
      </c>
      <c r="V397" s="27">
        <v>116.3026</v>
      </c>
      <c r="W397" s="27">
        <v>21.875</v>
      </c>
      <c r="X397" s="27">
        <v>26.04167</v>
      </c>
      <c r="Y397" s="27">
        <v>30.20833</v>
      </c>
      <c r="Z397" s="27">
        <v>23.95833</v>
      </c>
      <c r="AK397">
        <v>177.88461538461519</v>
      </c>
      <c r="AL397">
        <v>96.153846153845734</v>
      </c>
      <c r="AM397">
        <v>187.5</v>
      </c>
      <c r="AO397">
        <v>38.541666666666643</v>
      </c>
      <c r="AP397">
        <v>20.83333333333324</v>
      </c>
      <c r="AQ397">
        <v>40.625</v>
      </c>
    </row>
    <row r="398" spans="10:43" x14ac:dyDescent="0.2">
      <c r="J398">
        <v>134.63718820861689</v>
      </c>
      <c r="K398">
        <v>170.06802721088391</v>
      </c>
      <c r="L398">
        <v>184.24036281179181</v>
      </c>
      <c r="M398">
        <v>191.3265306122448</v>
      </c>
      <c r="N398">
        <v>19.791666666666679</v>
      </c>
      <c r="O398">
        <v>24.999999999999929</v>
      </c>
      <c r="P398">
        <v>27.0833333333334</v>
      </c>
      <c r="Q398">
        <v>28.124999999999989</v>
      </c>
      <c r="S398" s="27">
        <v>116.3026</v>
      </c>
      <c r="T398" s="27">
        <v>116.3026</v>
      </c>
      <c r="U398" s="27">
        <v>121.3592</v>
      </c>
      <c r="V398" s="27">
        <v>131.4725</v>
      </c>
      <c r="W398" s="27">
        <v>23.95833</v>
      </c>
      <c r="X398" s="27">
        <v>23.95833</v>
      </c>
      <c r="Y398" s="27">
        <v>25</v>
      </c>
      <c r="Z398" s="27">
        <v>27.08333</v>
      </c>
      <c r="AK398">
        <v>187.5</v>
      </c>
      <c r="AL398">
        <v>125</v>
      </c>
      <c r="AM398">
        <v>149.03846153846189</v>
      </c>
      <c r="AO398">
        <v>40.625</v>
      </c>
      <c r="AP398">
        <v>27.083333333333329</v>
      </c>
      <c r="AQ398">
        <v>32.291666666666742</v>
      </c>
    </row>
    <row r="399" spans="10:43" x14ac:dyDescent="0.2">
      <c r="J399">
        <v>141.7233560090699</v>
      </c>
      <c r="K399">
        <v>170.06802721088391</v>
      </c>
      <c r="L399">
        <v>184.24036281179181</v>
      </c>
      <c r="M399">
        <v>170.0680272108857</v>
      </c>
      <c r="N399">
        <v>20.833333333333279</v>
      </c>
      <c r="O399">
        <v>24.999999999999929</v>
      </c>
      <c r="P399">
        <v>27.0833333333334</v>
      </c>
      <c r="Q399">
        <v>25.000000000000199</v>
      </c>
      <c r="S399" s="27">
        <v>106.1893</v>
      </c>
      <c r="T399" s="27">
        <v>111.246</v>
      </c>
      <c r="U399" s="27">
        <v>131.4725</v>
      </c>
      <c r="V399" s="27">
        <v>121.3592</v>
      </c>
      <c r="W399" s="27">
        <v>21.875</v>
      </c>
      <c r="X399" s="27">
        <v>22.91667</v>
      </c>
      <c r="Y399" s="27">
        <v>27.08333</v>
      </c>
      <c r="Z399" s="27">
        <v>25</v>
      </c>
      <c r="AK399">
        <v>187.5</v>
      </c>
      <c r="AL399">
        <v>149.03846153846189</v>
      </c>
      <c r="AM399">
        <v>125.0000000000009</v>
      </c>
      <c r="AO399">
        <v>40.625</v>
      </c>
      <c r="AP399">
        <v>32.291666666666742</v>
      </c>
      <c r="AQ399">
        <v>27.083333333333531</v>
      </c>
    </row>
    <row r="401" spans="37:44" ht="31" x14ac:dyDescent="0.35">
      <c r="AK401" s="16" t="s">
        <v>173</v>
      </c>
      <c r="AL401" s="17"/>
      <c r="AM401" s="17"/>
      <c r="AN401" s="17"/>
      <c r="AO401" s="17"/>
      <c r="AP401" s="17"/>
      <c r="AQ401" s="18"/>
      <c r="AR401" s="17"/>
    </row>
    <row r="402" spans="37:44" ht="31" x14ac:dyDescent="0.35">
      <c r="AK402" s="3" t="s">
        <v>2</v>
      </c>
      <c r="AO402" s="6" t="s">
        <v>3</v>
      </c>
      <c r="AP402" s="6" t="s">
        <v>144</v>
      </c>
      <c r="AQ402" s="6"/>
      <c r="AR402" s="6"/>
    </row>
    <row r="403" spans="37:44" x14ac:dyDescent="0.2">
      <c r="AK403" s="7">
        <v>1</v>
      </c>
      <c r="AL403" s="6">
        <v>2</v>
      </c>
      <c r="AM403" s="6">
        <v>3</v>
      </c>
      <c r="AN403" s="6">
        <v>4</v>
      </c>
      <c r="AO403" s="7">
        <v>1</v>
      </c>
      <c r="AP403" s="6">
        <v>2</v>
      </c>
      <c r="AQ403" s="6">
        <v>3</v>
      </c>
      <c r="AR403" s="6">
        <v>4</v>
      </c>
    </row>
    <row r="404" spans="37:44" x14ac:dyDescent="0.2">
      <c r="AK404">
        <v>149.03846153846149</v>
      </c>
      <c r="AL404">
        <v>153.84615384615381</v>
      </c>
      <c r="AM404">
        <v>177.88461538461539</v>
      </c>
      <c r="AO404">
        <v>32.291666666666657</v>
      </c>
      <c r="AP404">
        <v>33.333333333333329</v>
      </c>
      <c r="AQ404">
        <v>38.541666666666657</v>
      </c>
    </row>
    <row r="405" spans="37:44" x14ac:dyDescent="0.2">
      <c r="AK405">
        <v>125</v>
      </c>
      <c r="AL405">
        <v>62.5</v>
      </c>
      <c r="AM405">
        <v>115.3846153846154</v>
      </c>
      <c r="AN405">
        <v>149.03846153846149</v>
      </c>
      <c r="AO405">
        <v>27.083333333333329</v>
      </c>
      <c r="AP405">
        <v>13.54166666666667</v>
      </c>
      <c r="AQ405">
        <v>24.999999999999989</v>
      </c>
      <c r="AR405">
        <v>32.291666666666671</v>
      </c>
    </row>
    <row r="406" spans="37:44" x14ac:dyDescent="0.2">
      <c r="AK406">
        <v>105.7692307692307</v>
      </c>
      <c r="AL406">
        <v>100.9615384615383</v>
      </c>
      <c r="AM406">
        <v>100.96153846153859</v>
      </c>
      <c r="AN406">
        <v>158.65384615384619</v>
      </c>
      <c r="AO406">
        <v>22.91666666666665</v>
      </c>
      <c r="AP406">
        <v>21.874999999999972</v>
      </c>
      <c r="AQ406">
        <v>21.875000000000021</v>
      </c>
      <c r="AR406">
        <v>34.375000000000007</v>
      </c>
    </row>
    <row r="407" spans="37:44" x14ac:dyDescent="0.2">
      <c r="AK407">
        <v>115.3846153846155</v>
      </c>
      <c r="AL407">
        <v>110.57692307692309</v>
      </c>
      <c r="AM407">
        <v>76.923076923076906</v>
      </c>
      <c r="AN407">
        <v>144.23076923076931</v>
      </c>
      <c r="AO407">
        <v>25.000000000000021</v>
      </c>
      <c r="AP407">
        <v>23.958333333333339</v>
      </c>
      <c r="AQ407">
        <v>16.666666666666661</v>
      </c>
      <c r="AR407">
        <v>31.250000000000011</v>
      </c>
    </row>
    <row r="408" spans="37:44" x14ac:dyDescent="0.2">
      <c r="AK408">
        <v>120.19230769230759</v>
      </c>
      <c r="AL408">
        <v>115.3846153846152</v>
      </c>
      <c r="AM408">
        <v>105.7692307692309</v>
      </c>
      <c r="AN408">
        <v>149.03846153846141</v>
      </c>
      <c r="AO408">
        <v>26.04166666666665</v>
      </c>
      <c r="AP408">
        <v>24.999999999999972</v>
      </c>
      <c r="AQ408">
        <v>22.9166666666667</v>
      </c>
      <c r="AR408">
        <v>32.291666666666643</v>
      </c>
    </row>
    <row r="409" spans="37:44" x14ac:dyDescent="0.2">
      <c r="AK409">
        <v>120.19230769230759</v>
      </c>
      <c r="AL409">
        <v>72.115384615384755</v>
      </c>
      <c r="AM409">
        <v>110.5769230769229</v>
      </c>
      <c r="AN409">
        <v>153.84615384615381</v>
      </c>
      <c r="AO409">
        <v>26.04166666666665</v>
      </c>
      <c r="AP409">
        <v>15.62500000000003</v>
      </c>
      <c r="AQ409">
        <v>23.95833333333329</v>
      </c>
      <c r="AR409">
        <v>33.333333333333329</v>
      </c>
    </row>
    <row r="410" spans="37:44" x14ac:dyDescent="0.2">
      <c r="AK410">
        <v>91.346153846153811</v>
      </c>
      <c r="AL410">
        <v>115.3846153846152</v>
      </c>
      <c r="AM410">
        <v>100.96153846153859</v>
      </c>
      <c r="AN410">
        <v>134.61538461538481</v>
      </c>
      <c r="AO410">
        <v>19.791666666666661</v>
      </c>
      <c r="AP410">
        <v>24.999999999999972</v>
      </c>
      <c r="AQ410">
        <v>21.875000000000021</v>
      </c>
      <c r="AR410">
        <v>29.1666666666667</v>
      </c>
    </row>
    <row r="411" spans="37:44" x14ac:dyDescent="0.2">
      <c r="AK411">
        <v>120.19230769230759</v>
      </c>
      <c r="AL411">
        <v>120.19230769230759</v>
      </c>
      <c r="AM411">
        <v>86.538461538461434</v>
      </c>
      <c r="AN411">
        <v>134.61538461538481</v>
      </c>
      <c r="AO411">
        <v>26.04166666666665</v>
      </c>
      <c r="AP411">
        <v>26.04166666666665</v>
      </c>
      <c r="AQ411">
        <v>18.749999999999979</v>
      </c>
      <c r="AR411">
        <v>29.1666666666667</v>
      </c>
    </row>
    <row r="412" spans="37:44" x14ac:dyDescent="0.2">
      <c r="AK412">
        <v>158.65384615384619</v>
      </c>
      <c r="AL412">
        <v>168.26923076923089</v>
      </c>
      <c r="AM412">
        <v>134.6153846153843</v>
      </c>
      <c r="AO412">
        <v>34.375000000000007</v>
      </c>
      <c r="AP412">
        <v>36.458333333333371</v>
      </c>
      <c r="AQ412">
        <v>29.1666666666666</v>
      </c>
    </row>
    <row r="413" spans="37:44" x14ac:dyDescent="0.2">
      <c r="AK413">
        <v>139.4230769230771</v>
      </c>
      <c r="AL413">
        <v>86.538461538461888</v>
      </c>
      <c r="AM413">
        <v>110.5769230769229</v>
      </c>
      <c r="AN413">
        <v>120.19230769230759</v>
      </c>
      <c r="AO413">
        <v>30.208333333333371</v>
      </c>
      <c r="AP413">
        <v>18.750000000000071</v>
      </c>
      <c r="AQ413">
        <v>23.95833333333329</v>
      </c>
      <c r="AR413">
        <v>26.04166666666665</v>
      </c>
    </row>
    <row r="414" spans="37:44" x14ac:dyDescent="0.2">
      <c r="AK414">
        <v>86.538461538461888</v>
      </c>
      <c r="AL414">
        <v>129.80769230769241</v>
      </c>
      <c r="AM414">
        <v>96.153846153845734</v>
      </c>
      <c r="AN414">
        <v>149.03846153846189</v>
      </c>
      <c r="AO414">
        <v>18.750000000000071</v>
      </c>
      <c r="AP414">
        <v>28.125000000000021</v>
      </c>
      <c r="AQ414">
        <v>20.83333333333324</v>
      </c>
      <c r="AR414">
        <v>32.291666666666742</v>
      </c>
    </row>
    <row r="415" spans="37:44" x14ac:dyDescent="0.2">
      <c r="AK415">
        <v>168.26923076923049</v>
      </c>
      <c r="AL415">
        <v>76.923076923077133</v>
      </c>
      <c r="AM415">
        <v>105.7692307692305</v>
      </c>
      <c r="AN415">
        <v>120.19230769230759</v>
      </c>
      <c r="AO415">
        <v>36.458333333333272</v>
      </c>
      <c r="AP415">
        <v>16.66666666666671</v>
      </c>
      <c r="AQ415">
        <v>22.9166666666666</v>
      </c>
      <c r="AR415">
        <v>26.04166666666665</v>
      </c>
    </row>
    <row r="416" spans="37:44" x14ac:dyDescent="0.2">
      <c r="AK416">
        <v>149.03846153846189</v>
      </c>
      <c r="AL416">
        <v>173.0769230769229</v>
      </c>
      <c r="AM416">
        <v>149.03846153846189</v>
      </c>
      <c r="AO416">
        <v>32.291666666666742</v>
      </c>
      <c r="AP416">
        <v>37.499999999999957</v>
      </c>
      <c r="AQ416">
        <v>32.291666666666742</v>
      </c>
    </row>
    <row r="417" spans="37:44" x14ac:dyDescent="0.2">
      <c r="AK417">
        <v>120.19230769230759</v>
      </c>
      <c r="AL417">
        <v>86.538461538461888</v>
      </c>
      <c r="AM417">
        <v>76.923076923077133</v>
      </c>
      <c r="AN417">
        <v>173.0769230769229</v>
      </c>
      <c r="AO417">
        <v>26.04166666666665</v>
      </c>
      <c r="AP417">
        <v>18.750000000000071</v>
      </c>
      <c r="AQ417">
        <v>16.66666666666671</v>
      </c>
      <c r="AR417">
        <v>37.499999999999957</v>
      </c>
    </row>
    <row r="418" spans="37:44" x14ac:dyDescent="0.2">
      <c r="AK418">
        <v>110.5769230769229</v>
      </c>
      <c r="AL418">
        <v>105.7692307692305</v>
      </c>
      <c r="AM418">
        <v>110.5769230769229</v>
      </c>
      <c r="AN418">
        <v>125</v>
      </c>
      <c r="AO418">
        <v>23.95833333333329</v>
      </c>
      <c r="AP418">
        <v>22.9166666666666</v>
      </c>
      <c r="AQ418">
        <v>23.95833333333329</v>
      </c>
      <c r="AR418">
        <v>27.083333333333329</v>
      </c>
    </row>
    <row r="419" spans="37:44" x14ac:dyDescent="0.2">
      <c r="AK419">
        <v>129.80769230769241</v>
      </c>
      <c r="AL419">
        <v>115.3846153846152</v>
      </c>
      <c r="AM419">
        <v>105.7692307692305</v>
      </c>
      <c r="AN419">
        <v>105.7692307692314</v>
      </c>
      <c r="AO419">
        <v>28.125000000000021</v>
      </c>
      <c r="AP419">
        <v>24.999999999999972</v>
      </c>
      <c r="AQ419">
        <v>22.9166666666666</v>
      </c>
      <c r="AR419">
        <v>22.916666666666799</v>
      </c>
    </row>
    <row r="421" spans="37:44" ht="31" x14ac:dyDescent="0.35">
      <c r="AK421" s="16" t="s">
        <v>174</v>
      </c>
      <c r="AL421" s="17"/>
      <c r="AM421" s="17"/>
      <c r="AN421" s="17"/>
      <c r="AO421" s="17"/>
      <c r="AP421" s="17"/>
      <c r="AQ421" s="18"/>
      <c r="AR421" s="17"/>
    </row>
    <row r="422" spans="37:44" ht="31" x14ac:dyDescent="0.35">
      <c r="AK422" s="3" t="s">
        <v>2</v>
      </c>
      <c r="AO422" s="6" t="s">
        <v>3</v>
      </c>
      <c r="AP422" s="6" t="s">
        <v>147</v>
      </c>
      <c r="AQ422" s="6"/>
      <c r="AR422" s="6"/>
    </row>
    <row r="423" spans="37:44" x14ac:dyDescent="0.2">
      <c r="AK423" s="7">
        <v>1</v>
      </c>
      <c r="AL423" s="6">
        <v>2</v>
      </c>
      <c r="AM423" s="6">
        <v>3</v>
      </c>
      <c r="AN423" s="6">
        <v>4</v>
      </c>
      <c r="AO423" s="7">
        <v>1</v>
      </c>
      <c r="AP423" s="6">
        <v>2</v>
      </c>
      <c r="AQ423" s="6">
        <v>3</v>
      </c>
      <c r="AR423" s="6">
        <v>4</v>
      </c>
    </row>
    <row r="424" spans="37:44" x14ac:dyDescent="0.2">
      <c r="AK424">
        <v>134.25925925925921</v>
      </c>
      <c r="AL424">
        <v>138.88888888888891</v>
      </c>
      <c r="AM424">
        <v>166.6666666666666</v>
      </c>
      <c r="AO424">
        <v>30.208333333333329</v>
      </c>
      <c r="AP424">
        <v>31.249999999999989</v>
      </c>
      <c r="AQ424">
        <v>37.499999999999993</v>
      </c>
    </row>
    <row r="425" spans="37:44" x14ac:dyDescent="0.2">
      <c r="AK425">
        <v>180.55555555555549</v>
      </c>
      <c r="AL425">
        <v>101.85185185185181</v>
      </c>
      <c r="AM425">
        <v>166.6666666666666</v>
      </c>
      <c r="AO425">
        <v>40.624999999999993</v>
      </c>
      <c r="AP425">
        <v>22.916666666666671</v>
      </c>
      <c r="AQ425">
        <v>37.499999999999993</v>
      </c>
    </row>
    <row r="426" spans="37:44" x14ac:dyDescent="0.2">
      <c r="AK426">
        <v>106.4814814814815</v>
      </c>
      <c r="AL426">
        <v>101.85185185185171</v>
      </c>
      <c r="AM426">
        <v>115.74074074074061</v>
      </c>
      <c r="AN426">
        <v>115.74074074074061</v>
      </c>
      <c r="AO426">
        <v>23.95833333333335</v>
      </c>
      <c r="AP426">
        <v>22.916666666666639</v>
      </c>
      <c r="AQ426">
        <v>26.04166666666665</v>
      </c>
      <c r="AR426">
        <v>26.04166666666665</v>
      </c>
    </row>
    <row r="427" spans="37:44" x14ac:dyDescent="0.2">
      <c r="AK427">
        <v>157.40740740740739</v>
      </c>
      <c r="AL427">
        <v>134.25925925925941</v>
      </c>
      <c r="AM427">
        <v>157.40740740740739</v>
      </c>
      <c r="AO427">
        <v>35.416666666666671</v>
      </c>
      <c r="AP427">
        <v>30.208333333333361</v>
      </c>
      <c r="AQ427">
        <v>35.416666666666671</v>
      </c>
    </row>
    <row r="428" spans="37:44" x14ac:dyDescent="0.2">
      <c r="AK428">
        <v>138.88888888888891</v>
      </c>
      <c r="AL428">
        <v>143.5185185185185</v>
      </c>
      <c r="AM428">
        <v>162.03703703703701</v>
      </c>
      <c r="AO428">
        <v>31.250000000000011</v>
      </c>
      <c r="AP428">
        <v>32.291666666666657</v>
      </c>
      <c r="AQ428">
        <v>36.458333333333321</v>
      </c>
    </row>
    <row r="429" spans="37:44" x14ac:dyDescent="0.2">
      <c r="AK429">
        <v>175.92592592592609</v>
      </c>
      <c r="AL429">
        <v>129.62962962962959</v>
      </c>
      <c r="AM429">
        <v>125</v>
      </c>
      <c r="AO429">
        <v>39.583333333333378</v>
      </c>
      <c r="AP429">
        <v>29.16666666666665</v>
      </c>
      <c r="AQ429">
        <v>28.125000000000011</v>
      </c>
    </row>
    <row r="430" spans="37:44" x14ac:dyDescent="0.2">
      <c r="AK430">
        <v>111.1111111111113</v>
      </c>
      <c r="AL430">
        <v>106.4814814814813</v>
      </c>
      <c r="AM430">
        <v>120.3703703703704</v>
      </c>
      <c r="AN430">
        <v>120.3703703703704</v>
      </c>
      <c r="AO430">
        <v>25.00000000000005</v>
      </c>
      <c r="AP430">
        <v>23.9583333333333</v>
      </c>
      <c r="AQ430">
        <v>27.08333333333335</v>
      </c>
      <c r="AR430">
        <v>27.08333333333335</v>
      </c>
    </row>
    <row r="431" spans="37:44" x14ac:dyDescent="0.2">
      <c r="AK431">
        <v>152.7777777777778</v>
      </c>
      <c r="AL431">
        <v>134.2592592592591</v>
      </c>
      <c r="AM431">
        <v>157.40740740740739</v>
      </c>
      <c r="AO431">
        <v>34.375000000000007</v>
      </c>
      <c r="AP431">
        <v>30.2083333333333</v>
      </c>
      <c r="AQ431">
        <v>35.416666666666671</v>
      </c>
    </row>
    <row r="432" spans="37:44" x14ac:dyDescent="0.2">
      <c r="AK432">
        <v>134.2592592592591</v>
      </c>
      <c r="AL432">
        <v>138.88888888888869</v>
      </c>
      <c r="AM432">
        <v>171.29629629629611</v>
      </c>
      <c r="AO432">
        <v>30.2083333333333</v>
      </c>
      <c r="AP432">
        <v>31.249999999999961</v>
      </c>
      <c r="AQ432">
        <v>38.541666666666622</v>
      </c>
    </row>
    <row r="433" spans="37:44" x14ac:dyDescent="0.2">
      <c r="AK433">
        <v>175.92592592592609</v>
      </c>
      <c r="AL433">
        <v>148.14814814814781</v>
      </c>
      <c r="AM433">
        <v>120.3703703703704</v>
      </c>
      <c r="AO433">
        <v>39.583333333333378</v>
      </c>
      <c r="AP433">
        <v>33.333333333333258</v>
      </c>
      <c r="AQ433">
        <v>27.08333333333335</v>
      </c>
    </row>
    <row r="434" spans="37:44" x14ac:dyDescent="0.2">
      <c r="AK434">
        <v>106.48148148148179</v>
      </c>
      <c r="AL434">
        <v>101.8518518518522</v>
      </c>
      <c r="AM434">
        <v>115.7407407407409</v>
      </c>
      <c r="AN434">
        <v>115.7407407407409</v>
      </c>
      <c r="AO434">
        <v>23.9583333333334</v>
      </c>
      <c r="AP434">
        <v>22.916666666666739</v>
      </c>
      <c r="AQ434">
        <v>26.0416666666667</v>
      </c>
      <c r="AR434">
        <v>26.0416666666667</v>
      </c>
    </row>
    <row r="435" spans="37:44" x14ac:dyDescent="0.2">
      <c r="AK435">
        <v>157.40740740740691</v>
      </c>
      <c r="AL435">
        <v>129.62962962962959</v>
      </c>
      <c r="AM435">
        <v>162.03703703703741</v>
      </c>
      <c r="AO435">
        <v>35.416666666666558</v>
      </c>
      <c r="AP435">
        <v>29.16666666666665</v>
      </c>
      <c r="AQ435">
        <v>36.458333333333421</v>
      </c>
    </row>
    <row r="436" spans="37:44" x14ac:dyDescent="0.2">
      <c r="AK436">
        <v>143.51851851851819</v>
      </c>
      <c r="AL436">
        <v>143.51851851851819</v>
      </c>
      <c r="AM436">
        <v>157.40740740740779</v>
      </c>
      <c r="AO436">
        <v>32.291666666666607</v>
      </c>
      <c r="AP436">
        <v>32.291666666666607</v>
      </c>
      <c r="AQ436">
        <v>35.416666666666771</v>
      </c>
    </row>
    <row r="437" spans="37:44" x14ac:dyDescent="0.2">
      <c r="AK437">
        <v>185.18518518518519</v>
      </c>
      <c r="AL437">
        <v>129.62962962962959</v>
      </c>
      <c r="AM437">
        <v>129.62962962962959</v>
      </c>
      <c r="AO437">
        <v>41.666666666666679</v>
      </c>
      <c r="AP437">
        <v>29.16666666666665</v>
      </c>
      <c r="AQ437">
        <v>29.16666666666665</v>
      </c>
    </row>
    <row r="438" spans="37:44" x14ac:dyDescent="0.2">
      <c r="AK438">
        <v>138.88888888888869</v>
      </c>
      <c r="AL438">
        <v>138.88888888888869</v>
      </c>
      <c r="AM438">
        <v>166.666666666667</v>
      </c>
      <c r="AO438">
        <v>31.249999999999961</v>
      </c>
      <c r="AP438">
        <v>31.249999999999961</v>
      </c>
      <c r="AQ438">
        <v>37.500000000000071</v>
      </c>
    </row>
    <row r="439" spans="37:44" x14ac:dyDescent="0.2">
      <c r="AK439">
        <v>111.1111111111113</v>
      </c>
      <c r="AL439">
        <v>111.1111111111113</v>
      </c>
      <c r="AM439">
        <v>111.1111111111113</v>
      </c>
      <c r="AN439">
        <v>111.1111111111104</v>
      </c>
      <c r="AO439">
        <v>25.00000000000005</v>
      </c>
      <c r="AP439">
        <v>25.00000000000005</v>
      </c>
      <c r="AQ439">
        <v>25.00000000000005</v>
      </c>
      <c r="AR439">
        <v>24.99999999999984</v>
      </c>
    </row>
    <row r="441" spans="37:44" ht="31" x14ac:dyDescent="0.35">
      <c r="AK441" s="16" t="s">
        <v>175</v>
      </c>
      <c r="AL441" s="17"/>
      <c r="AM441" s="17"/>
      <c r="AN441" s="17"/>
      <c r="AO441" s="17"/>
      <c r="AP441" s="17"/>
      <c r="AQ441" s="18"/>
      <c r="AR441" s="17"/>
    </row>
    <row r="442" spans="37:44" ht="31" x14ac:dyDescent="0.35">
      <c r="AK442" s="3" t="s">
        <v>2</v>
      </c>
      <c r="AO442" s="6" t="s">
        <v>3</v>
      </c>
      <c r="AP442" s="6" t="s">
        <v>144</v>
      </c>
      <c r="AQ442" s="6"/>
      <c r="AR442" s="6"/>
    </row>
    <row r="443" spans="37:44" x14ac:dyDescent="0.2">
      <c r="AK443" s="7">
        <v>1</v>
      </c>
      <c r="AL443" s="6">
        <v>2</v>
      </c>
      <c r="AM443" s="6">
        <v>3</v>
      </c>
      <c r="AN443" s="6">
        <v>4</v>
      </c>
      <c r="AO443" s="7">
        <v>1</v>
      </c>
      <c r="AP443" s="6">
        <v>2</v>
      </c>
      <c r="AQ443" s="6">
        <v>3</v>
      </c>
      <c r="AR443" s="6">
        <v>4</v>
      </c>
    </row>
    <row r="444" spans="37:44" x14ac:dyDescent="0.2">
      <c r="AK444">
        <v>149.03846153846149</v>
      </c>
      <c r="AL444">
        <v>144.2307692307692</v>
      </c>
      <c r="AM444">
        <v>192.30769230769229</v>
      </c>
      <c r="AO444">
        <v>32.291666666666657</v>
      </c>
      <c r="AP444">
        <v>31.249999999999989</v>
      </c>
      <c r="AQ444">
        <v>41.666666666666657</v>
      </c>
    </row>
    <row r="445" spans="37:44" x14ac:dyDescent="0.2">
      <c r="AK445">
        <v>153.84615384615381</v>
      </c>
      <c r="AL445">
        <v>153.84615384615381</v>
      </c>
      <c r="AM445">
        <v>149.03846153846149</v>
      </c>
      <c r="AO445">
        <v>33.333333333333329</v>
      </c>
      <c r="AP445">
        <v>33.333333333333329</v>
      </c>
      <c r="AQ445">
        <v>32.291666666666671</v>
      </c>
    </row>
    <row r="446" spans="37:44" x14ac:dyDescent="0.2">
      <c r="AK446">
        <v>163.46153846153831</v>
      </c>
      <c r="AL446">
        <v>139.42307692307691</v>
      </c>
      <c r="AM446">
        <v>144.23076923076931</v>
      </c>
      <c r="AO446">
        <v>35.416666666666643</v>
      </c>
      <c r="AP446">
        <v>30.208333333333329</v>
      </c>
      <c r="AQ446">
        <v>31.250000000000011</v>
      </c>
    </row>
    <row r="447" spans="37:44" x14ac:dyDescent="0.2">
      <c r="AK447">
        <v>149.03846153846141</v>
      </c>
      <c r="AL447">
        <v>144.23076923076931</v>
      </c>
      <c r="AM447">
        <v>168.26923076923069</v>
      </c>
      <c r="AO447">
        <v>32.291666666666643</v>
      </c>
      <c r="AP447">
        <v>31.250000000000011</v>
      </c>
      <c r="AQ447">
        <v>36.458333333333321</v>
      </c>
    </row>
    <row r="448" spans="37:44" x14ac:dyDescent="0.2">
      <c r="AK448">
        <v>100.96153846153859</v>
      </c>
      <c r="AL448">
        <v>100.96153846153859</v>
      </c>
      <c r="AM448">
        <v>86.538461538461434</v>
      </c>
      <c r="AN448">
        <v>168.26923076923089</v>
      </c>
      <c r="AO448">
        <v>21.875000000000021</v>
      </c>
      <c r="AP448">
        <v>21.875000000000021</v>
      </c>
      <c r="AQ448">
        <v>18.749999999999979</v>
      </c>
      <c r="AR448">
        <v>36.458333333333371</v>
      </c>
    </row>
    <row r="449" spans="37:44" x14ac:dyDescent="0.2">
      <c r="AK449">
        <v>177.88461538461519</v>
      </c>
      <c r="AL449">
        <v>134.61538461538481</v>
      </c>
      <c r="AM449">
        <v>149.03846153846141</v>
      </c>
      <c r="AO449">
        <v>38.541666666666643</v>
      </c>
      <c r="AP449">
        <v>29.1666666666667</v>
      </c>
      <c r="AQ449">
        <v>32.291666666666643</v>
      </c>
    </row>
    <row r="450" spans="37:44" x14ac:dyDescent="0.2">
      <c r="AK450">
        <v>105.7692307692309</v>
      </c>
      <c r="AL450">
        <v>100.96153846153859</v>
      </c>
      <c r="AM450">
        <v>129.80769230769241</v>
      </c>
      <c r="AN450">
        <v>129.80769230769241</v>
      </c>
      <c r="AO450">
        <v>22.9166666666667</v>
      </c>
      <c r="AP450">
        <v>21.875000000000021</v>
      </c>
      <c r="AQ450">
        <v>28.125000000000021</v>
      </c>
      <c r="AR450">
        <v>28.125000000000021</v>
      </c>
    </row>
    <row r="451" spans="37:44" x14ac:dyDescent="0.2">
      <c r="AK451">
        <v>115.3846153846152</v>
      </c>
      <c r="AL451">
        <v>115.3846153846152</v>
      </c>
      <c r="AM451">
        <v>76.923076923077133</v>
      </c>
      <c r="AN451">
        <v>149.03846153846141</v>
      </c>
      <c r="AO451">
        <v>24.999999999999972</v>
      </c>
      <c r="AP451">
        <v>24.999999999999972</v>
      </c>
      <c r="AQ451">
        <v>16.66666666666671</v>
      </c>
      <c r="AR451">
        <v>32.291666666666643</v>
      </c>
    </row>
    <row r="452" spans="37:44" x14ac:dyDescent="0.2">
      <c r="AK452">
        <v>149.03846153846141</v>
      </c>
      <c r="AL452">
        <v>144.23076923076911</v>
      </c>
      <c r="AM452">
        <v>192.30769230769241</v>
      </c>
      <c r="AO452">
        <v>32.291666666666643</v>
      </c>
      <c r="AP452">
        <v>31.249999999999961</v>
      </c>
      <c r="AQ452">
        <v>41.666666666666679</v>
      </c>
    </row>
    <row r="453" spans="37:44" x14ac:dyDescent="0.2">
      <c r="AK453">
        <v>153.84615384615429</v>
      </c>
      <c r="AL453">
        <v>149.03846153846189</v>
      </c>
      <c r="AM453">
        <v>144.23076923076951</v>
      </c>
      <c r="AO453">
        <v>33.333333333333428</v>
      </c>
      <c r="AP453">
        <v>32.291666666666742</v>
      </c>
      <c r="AQ453">
        <v>31.25000000000006</v>
      </c>
    </row>
    <row r="454" spans="37:44" x14ac:dyDescent="0.2">
      <c r="AK454">
        <v>144.23076923076951</v>
      </c>
      <c r="AL454">
        <v>139.4230769230771</v>
      </c>
      <c r="AM454">
        <v>173.0769230769229</v>
      </c>
      <c r="AO454">
        <v>31.25000000000006</v>
      </c>
      <c r="AP454">
        <v>30.208333333333371</v>
      </c>
      <c r="AQ454">
        <v>37.499999999999957</v>
      </c>
    </row>
    <row r="455" spans="37:44" x14ac:dyDescent="0.2">
      <c r="AK455">
        <v>177.88461538461519</v>
      </c>
      <c r="AL455">
        <v>139.4230769230771</v>
      </c>
      <c r="AM455">
        <v>139.4230769230771</v>
      </c>
      <c r="AO455">
        <v>38.541666666666643</v>
      </c>
      <c r="AP455">
        <v>30.208333333333371</v>
      </c>
      <c r="AQ455">
        <v>30.208333333333371</v>
      </c>
    </row>
    <row r="456" spans="37:44" x14ac:dyDescent="0.2">
      <c r="AK456">
        <v>115.3846153846152</v>
      </c>
      <c r="AL456">
        <v>115.3846153846152</v>
      </c>
      <c r="AM456">
        <v>76.923076923077133</v>
      </c>
      <c r="AN456">
        <v>153.84615384615429</v>
      </c>
      <c r="AO456">
        <v>24.999999999999972</v>
      </c>
      <c r="AP456">
        <v>24.999999999999972</v>
      </c>
      <c r="AQ456">
        <v>16.66666666666671</v>
      </c>
      <c r="AR456">
        <v>33.333333333333428</v>
      </c>
    </row>
    <row r="457" spans="37:44" x14ac:dyDescent="0.2">
      <c r="AK457">
        <v>153.84615384615429</v>
      </c>
      <c r="AL457">
        <v>76.923076923077133</v>
      </c>
      <c r="AM457">
        <v>120.19230769230759</v>
      </c>
      <c r="AN457">
        <v>125</v>
      </c>
      <c r="AO457">
        <v>33.333333333333428</v>
      </c>
      <c r="AP457">
        <v>16.66666666666671</v>
      </c>
      <c r="AQ457">
        <v>26.04166666666665</v>
      </c>
      <c r="AR457">
        <v>27.083333333333329</v>
      </c>
    </row>
    <row r="458" spans="37:44" x14ac:dyDescent="0.2">
      <c r="AK458">
        <v>158.65384615384571</v>
      </c>
      <c r="AL458">
        <v>144.23076923076951</v>
      </c>
      <c r="AM458">
        <v>144.23076923076951</v>
      </c>
      <c r="AO458">
        <v>34.374999999999908</v>
      </c>
      <c r="AP458">
        <v>31.25000000000006</v>
      </c>
      <c r="AQ458">
        <v>31.25000000000006</v>
      </c>
    </row>
    <row r="459" spans="37:44" x14ac:dyDescent="0.2">
      <c r="AK459">
        <v>115.3846153846152</v>
      </c>
      <c r="AL459">
        <v>115.3846153846152</v>
      </c>
      <c r="AM459">
        <v>115.3846153846152</v>
      </c>
      <c r="AN459">
        <v>115.3846153846134</v>
      </c>
      <c r="AO459">
        <v>24.999999999999972</v>
      </c>
      <c r="AP459">
        <v>24.999999999999972</v>
      </c>
      <c r="AQ459">
        <v>24.999999999999972</v>
      </c>
      <c r="AR459">
        <v>24.99999999999957</v>
      </c>
    </row>
    <row r="461" spans="37:44" ht="31" x14ac:dyDescent="0.35">
      <c r="AK461" s="16" t="s">
        <v>176</v>
      </c>
      <c r="AL461" s="17"/>
      <c r="AM461" s="17"/>
      <c r="AN461" s="17"/>
      <c r="AO461" s="17"/>
      <c r="AP461" s="17"/>
      <c r="AQ461" s="18"/>
      <c r="AR461" s="17"/>
    </row>
    <row r="462" spans="37:44" ht="31" x14ac:dyDescent="0.35">
      <c r="AK462" s="3" t="s">
        <v>2</v>
      </c>
      <c r="AO462" s="6" t="s">
        <v>3</v>
      </c>
      <c r="AP462" s="6" t="s">
        <v>177</v>
      </c>
      <c r="AQ462" s="6"/>
      <c r="AR462" s="6"/>
    </row>
    <row r="463" spans="37:44" x14ac:dyDescent="0.2">
      <c r="AK463" s="7">
        <v>1</v>
      </c>
      <c r="AL463" s="6">
        <v>2</v>
      </c>
      <c r="AM463" s="6">
        <v>3</v>
      </c>
      <c r="AN463" s="6">
        <v>4</v>
      </c>
      <c r="AO463" s="7">
        <v>1</v>
      </c>
      <c r="AP463" s="6">
        <v>2</v>
      </c>
      <c r="AQ463" s="6">
        <v>3</v>
      </c>
      <c r="AR463" s="6">
        <v>4</v>
      </c>
    </row>
    <row r="464" spans="37:44" x14ac:dyDescent="0.2">
      <c r="AK464">
        <v>133.3324444503703</v>
      </c>
      <c r="AL464">
        <v>133.3324444503703</v>
      </c>
      <c r="AM464">
        <v>154.1656388957407</v>
      </c>
      <c r="AO464">
        <v>33.333333333333343</v>
      </c>
      <c r="AP464">
        <v>33.333333333333343</v>
      </c>
      <c r="AQ464">
        <v>38.541666666666671</v>
      </c>
    </row>
    <row r="465" spans="37:44" x14ac:dyDescent="0.2">
      <c r="AK465">
        <v>149.99900000666671</v>
      </c>
      <c r="AL465">
        <v>120.83252778314809</v>
      </c>
      <c r="AM465">
        <v>124.9991666722221</v>
      </c>
      <c r="AO465">
        <v>37.500000000000007</v>
      </c>
      <c r="AP465">
        <v>30.208333333333329</v>
      </c>
      <c r="AQ465">
        <v>31.249999999999989</v>
      </c>
    </row>
    <row r="466" spans="37:44" x14ac:dyDescent="0.2">
      <c r="AK466">
        <v>95.832694448703705</v>
      </c>
      <c r="AL466">
        <v>91.666055559629626</v>
      </c>
      <c r="AM466">
        <v>91.666055559629513</v>
      </c>
      <c r="AN466">
        <v>95.832694448703705</v>
      </c>
      <c r="AO466">
        <v>23.958333333333339</v>
      </c>
      <c r="AP466">
        <v>22.916666666666671</v>
      </c>
      <c r="AQ466">
        <v>22.91666666666665</v>
      </c>
      <c r="AR466">
        <v>23.958333333333339</v>
      </c>
    </row>
    <row r="467" spans="37:44" x14ac:dyDescent="0.2">
      <c r="AK467">
        <v>108.3326111159258</v>
      </c>
      <c r="AL467">
        <v>104.16597222685191</v>
      </c>
      <c r="AM467">
        <v>95.832694448703705</v>
      </c>
      <c r="AN467">
        <v>99.999333337777671</v>
      </c>
      <c r="AO467">
        <v>27.083333333333321</v>
      </c>
      <c r="AP467">
        <v>26.041666666666679</v>
      </c>
      <c r="AQ467">
        <v>23.958333333333339</v>
      </c>
      <c r="AR467">
        <v>24.999999999999979</v>
      </c>
    </row>
    <row r="468" spans="37:44" x14ac:dyDescent="0.2">
      <c r="AK468">
        <v>133.3324444503703</v>
      </c>
      <c r="AL468">
        <v>133.3324444503703</v>
      </c>
      <c r="AM468">
        <v>133.3324444503703</v>
      </c>
      <c r="AO468">
        <v>33.333333333333329</v>
      </c>
      <c r="AP468">
        <v>33.333333333333329</v>
      </c>
      <c r="AQ468">
        <v>33.333333333333329</v>
      </c>
    </row>
    <row r="469" spans="37:44" x14ac:dyDescent="0.2">
      <c r="AK469">
        <v>162.49891667388869</v>
      </c>
      <c r="AL469">
        <v>124.9991666722221</v>
      </c>
      <c r="AM469">
        <v>124.9991666722221</v>
      </c>
      <c r="AO469">
        <v>40.624999999999979</v>
      </c>
      <c r="AP469">
        <v>31.249999999999989</v>
      </c>
      <c r="AQ469">
        <v>31.249999999999989</v>
      </c>
    </row>
    <row r="470" spans="37:44" x14ac:dyDescent="0.2">
      <c r="AK470">
        <v>95.832694448703478</v>
      </c>
      <c r="AL470">
        <v>95.832694448703478</v>
      </c>
      <c r="AM470">
        <v>95.832694448703478</v>
      </c>
      <c r="AN470">
        <v>95.832694448703478</v>
      </c>
      <c r="AO470">
        <v>23.95833333333329</v>
      </c>
      <c r="AP470">
        <v>23.95833333333329</v>
      </c>
      <c r="AQ470">
        <v>23.95833333333329</v>
      </c>
      <c r="AR470">
        <v>23.95833333333329</v>
      </c>
    </row>
    <row r="471" spans="37:44" x14ac:dyDescent="0.2">
      <c r="AK471">
        <v>104.16597222685191</v>
      </c>
      <c r="AL471">
        <v>104.16597222685191</v>
      </c>
      <c r="AM471">
        <v>95.832694448703478</v>
      </c>
      <c r="AN471">
        <v>99.999333337777898</v>
      </c>
      <c r="AO471">
        <v>26.041666666666679</v>
      </c>
      <c r="AP471">
        <v>26.041666666666679</v>
      </c>
      <c r="AQ471">
        <v>23.95833333333329</v>
      </c>
      <c r="AR471">
        <v>25.000000000000039</v>
      </c>
    </row>
    <row r="472" spans="37:44" x14ac:dyDescent="0.2">
      <c r="AK472">
        <v>133.3324444503705</v>
      </c>
      <c r="AL472">
        <v>133.3324444503705</v>
      </c>
      <c r="AM472">
        <v>79.166138892407162</v>
      </c>
      <c r="AO472">
        <v>33.333333333333393</v>
      </c>
      <c r="AP472">
        <v>33.333333333333393</v>
      </c>
      <c r="AQ472">
        <v>19.791666666666611</v>
      </c>
    </row>
    <row r="473" spans="37:44" x14ac:dyDescent="0.2">
      <c r="AK473">
        <v>112.49925000499979</v>
      </c>
      <c r="AL473">
        <v>112.49925000499979</v>
      </c>
      <c r="AM473">
        <v>124.9991666722221</v>
      </c>
      <c r="AN473">
        <v>124.9991666722221</v>
      </c>
      <c r="AO473">
        <v>28.124999999999961</v>
      </c>
      <c r="AP473">
        <v>28.124999999999961</v>
      </c>
      <c r="AQ473">
        <v>31.249999999999989</v>
      </c>
      <c r="AR473">
        <v>31.249999999999989</v>
      </c>
    </row>
    <row r="474" spans="37:44" x14ac:dyDescent="0.2">
      <c r="AK474">
        <v>91.666055559629967</v>
      </c>
      <c r="AL474">
        <v>91.666055559629967</v>
      </c>
      <c r="AM474">
        <v>91.666055559629967</v>
      </c>
      <c r="AN474">
        <v>99.999333337777898</v>
      </c>
      <c r="AO474">
        <v>22.91666666666676</v>
      </c>
      <c r="AP474">
        <v>22.91666666666676</v>
      </c>
      <c r="AQ474">
        <v>22.91666666666676</v>
      </c>
      <c r="AR474">
        <v>25.000000000000039</v>
      </c>
    </row>
    <row r="475" spans="37:44" x14ac:dyDescent="0.2">
      <c r="AK475">
        <v>104.16597222685139</v>
      </c>
      <c r="AL475">
        <v>104.16597222685139</v>
      </c>
      <c r="AM475">
        <v>95.832694448703478</v>
      </c>
      <c r="AN475">
        <v>99.999333337777898</v>
      </c>
      <c r="AO475">
        <v>26.041666666666561</v>
      </c>
      <c r="AP475">
        <v>26.041666666666561</v>
      </c>
      <c r="AQ475">
        <v>23.95833333333329</v>
      </c>
      <c r="AR475">
        <v>25.000000000000039</v>
      </c>
    </row>
    <row r="476" spans="37:44" x14ac:dyDescent="0.2">
      <c r="AK476">
        <v>133.3324444503705</v>
      </c>
      <c r="AL476">
        <v>133.3324444503705</v>
      </c>
      <c r="AM476">
        <v>133.3324444503705</v>
      </c>
      <c r="AO476">
        <v>33.333333333333393</v>
      </c>
      <c r="AP476">
        <v>33.333333333333393</v>
      </c>
      <c r="AQ476">
        <v>33.333333333333393</v>
      </c>
    </row>
    <row r="477" spans="37:44" x14ac:dyDescent="0.2">
      <c r="AK477">
        <v>162.49891667388869</v>
      </c>
      <c r="AL477">
        <v>120.83252778314819</v>
      </c>
      <c r="AM477">
        <v>124.9991666722226</v>
      </c>
      <c r="AO477">
        <v>40.624999999999979</v>
      </c>
      <c r="AP477">
        <v>30.20833333333335</v>
      </c>
      <c r="AQ477">
        <v>31.25000000000011</v>
      </c>
    </row>
    <row r="478" spans="37:44" x14ac:dyDescent="0.2">
      <c r="AK478">
        <v>99.999333337777898</v>
      </c>
      <c r="AL478">
        <v>95.832694448703478</v>
      </c>
      <c r="AM478">
        <v>95.832694448703478</v>
      </c>
      <c r="AN478">
        <v>95.832694448703478</v>
      </c>
      <c r="AO478">
        <v>25.000000000000039</v>
      </c>
      <c r="AP478">
        <v>23.95833333333329</v>
      </c>
      <c r="AQ478">
        <v>23.95833333333329</v>
      </c>
      <c r="AR478">
        <v>23.95833333333329</v>
      </c>
    </row>
    <row r="479" spans="37:44" x14ac:dyDescent="0.2">
      <c r="AK479">
        <v>104.16597222685139</v>
      </c>
      <c r="AL479">
        <v>104.16597222685139</v>
      </c>
      <c r="AM479">
        <v>95.832694448703478</v>
      </c>
      <c r="AN479">
        <v>99.999333337778808</v>
      </c>
      <c r="AO479">
        <v>26.041666666666561</v>
      </c>
      <c r="AP479">
        <v>26.041666666666561</v>
      </c>
      <c r="AQ479">
        <v>23.95833333333329</v>
      </c>
      <c r="AR479">
        <v>25.00000000000027</v>
      </c>
    </row>
    <row r="481" spans="37:44" ht="31" x14ac:dyDescent="0.35">
      <c r="AK481" s="16" t="s">
        <v>178</v>
      </c>
      <c r="AL481" s="17"/>
      <c r="AM481" s="17"/>
      <c r="AN481" s="17"/>
      <c r="AO481" s="17"/>
      <c r="AP481" s="17"/>
      <c r="AQ481" s="18"/>
      <c r="AR481" s="17"/>
    </row>
    <row r="482" spans="37:44" ht="31" x14ac:dyDescent="0.35">
      <c r="AK482" s="3" t="s">
        <v>2</v>
      </c>
      <c r="AO482" s="6" t="s">
        <v>3</v>
      </c>
      <c r="AP482" s="6" t="s">
        <v>137</v>
      </c>
      <c r="AQ482" s="6"/>
      <c r="AR482" s="6"/>
    </row>
    <row r="483" spans="37:44" x14ac:dyDescent="0.2">
      <c r="AK483" s="7">
        <v>1</v>
      </c>
      <c r="AL483" s="6">
        <v>2</v>
      </c>
      <c r="AM483" s="6">
        <v>3</v>
      </c>
      <c r="AN483" s="6">
        <v>4</v>
      </c>
      <c r="AO483" s="7">
        <v>1</v>
      </c>
      <c r="AP483" s="6">
        <v>2</v>
      </c>
      <c r="AQ483" s="6">
        <v>3</v>
      </c>
      <c r="AR483" s="6">
        <v>4</v>
      </c>
    </row>
    <row r="484" spans="37:44" x14ac:dyDescent="0.2">
      <c r="AK484">
        <v>129.16666666666671</v>
      </c>
      <c r="AL484">
        <v>125</v>
      </c>
      <c r="AM484">
        <v>166.66666666666671</v>
      </c>
      <c r="AO484">
        <v>32.291666666666671</v>
      </c>
      <c r="AP484">
        <v>31.25</v>
      </c>
      <c r="AQ484">
        <v>41.666666666666671</v>
      </c>
    </row>
    <row r="485" spans="37:44" x14ac:dyDescent="0.2">
      <c r="AK485">
        <v>129.1666666666666</v>
      </c>
      <c r="AL485">
        <v>125</v>
      </c>
      <c r="AM485">
        <v>129.16666666666671</v>
      </c>
      <c r="AO485">
        <v>32.291666666666657</v>
      </c>
      <c r="AP485">
        <v>31.25</v>
      </c>
      <c r="AQ485">
        <v>32.291666666666693</v>
      </c>
    </row>
    <row r="486" spans="37:44" x14ac:dyDescent="0.2">
      <c r="AK486">
        <v>100</v>
      </c>
      <c r="AL486">
        <v>95.833333333333371</v>
      </c>
      <c r="AM486">
        <v>104.1666666666666</v>
      </c>
      <c r="AN486">
        <v>108.3333333333333</v>
      </c>
      <c r="AO486">
        <v>25</v>
      </c>
      <c r="AP486">
        <v>23.958333333333339</v>
      </c>
      <c r="AQ486">
        <v>26.041666666666661</v>
      </c>
      <c r="AR486">
        <v>27.083333333333311</v>
      </c>
    </row>
    <row r="487" spans="37:44" x14ac:dyDescent="0.2">
      <c r="AK487">
        <v>95.833333333333258</v>
      </c>
      <c r="AL487">
        <v>95.833333333333258</v>
      </c>
      <c r="AM487">
        <v>95.833333333333258</v>
      </c>
      <c r="AN487">
        <v>100</v>
      </c>
      <c r="AO487">
        <v>23.958333333333311</v>
      </c>
      <c r="AP487">
        <v>23.958333333333311</v>
      </c>
      <c r="AQ487">
        <v>23.958333333333311</v>
      </c>
      <c r="AR487">
        <v>25</v>
      </c>
    </row>
    <row r="488" spans="37:44" x14ac:dyDescent="0.2">
      <c r="AK488">
        <v>129.16666666666671</v>
      </c>
      <c r="AL488">
        <v>125</v>
      </c>
      <c r="AM488">
        <v>166.66666666666671</v>
      </c>
      <c r="AO488">
        <v>32.291666666666693</v>
      </c>
      <c r="AP488">
        <v>31.25</v>
      </c>
      <c r="AQ488">
        <v>41.666666666666693</v>
      </c>
    </row>
    <row r="489" spans="37:44" x14ac:dyDescent="0.2">
      <c r="AK489">
        <v>129.16666666666671</v>
      </c>
      <c r="AL489">
        <v>125</v>
      </c>
      <c r="AM489">
        <v>129.16666666666649</v>
      </c>
      <c r="AO489">
        <v>32.291666666666693</v>
      </c>
      <c r="AP489">
        <v>31.25</v>
      </c>
      <c r="AQ489">
        <v>32.291666666666629</v>
      </c>
    </row>
    <row r="490" spans="37:44" x14ac:dyDescent="0.2">
      <c r="AK490">
        <v>100</v>
      </c>
      <c r="AL490">
        <v>95.833333333333485</v>
      </c>
      <c r="AM490">
        <v>104.1666666666665</v>
      </c>
      <c r="AN490">
        <v>108.3333333333335</v>
      </c>
      <c r="AO490">
        <v>25</v>
      </c>
      <c r="AP490">
        <v>23.958333333333371</v>
      </c>
      <c r="AQ490">
        <v>26.041666666666629</v>
      </c>
      <c r="AR490">
        <v>27.083333333333371</v>
      </c>
    </row>
    <row r="491" spans="37:44" x14ac:dyDescent="0.2">
      <c r="AK491">
        <v>95.833333333333485</v>
      </c>
      <c r="AL491">
        <v>95.833333333333485</v>
      </c>
      <c r="AM491">
        <v>95.833333333333485</v>
      </c>
      <c r="AN491">
        <v>100</v>
      </c>
      <c r="AO491">
        <v>23.958333333333371</v>
      </c>
      <c r="AP491">
        <v>23.958333333333371</v>
      </c>
      <c r="AQ491">
        <v>23.958333333333371</v>
      </c>
      <c r="AR491">
        <v>25</v>
      </c>
    </row>
    <row r="492" spans="37:44" x14ac:dyDescent="0.2">
      <c r="AK492">
        <v>129.16666666666649</v>
      </c>
      <c r="AL492">
        <v>125</v>
      </c>
      <c r="AM492">
        <v>166.66666666666649</v>
      </c>
      <c r="AO492">
        <v>32.291666666666629</v>
      </c>
      <c r="AP492">
        <v>31.25</v>
      </c>
      <c r="AQ492">
        <v>41.666666666666629</v>
      </c>
    </row>
    <row r="493" spans="37:44" x14ac:dyDescent="0.2">
      <c r="AK493">
        <v>129.16666666666649</v>
      </c>
      <c r="AL493">
        <v>133.33333333333351</v>
      </c>
      <c r="AM493">
        <v>137.5</v>
      </c>
      <c r="AO493">
        <v>32.291666666666629</v>
      </c>
      <c r="AP493">
        <v>33.333333333333371</v>
      </c>
      <c r="AQ493">
        <v>34.375</v>
      </c>
    </row>
    <row r="494" spans="37:44" x14ac:dyDescent="0.2">
      <c r="AK494">
        <v>91.666666666666515</v>
      </c>
      <c r="AL494">
        <v>87.5</v>
      </c>
      <c r="AM494">
        <v>104.166666666667</v>
      </c>
      <c r="AN494">
        <v>108.333333333333</v>
      </c>
      <c r="AO494">
        <v>22.916666666666629</v>
      </c>
      <c r="AP494">
        <v>21.875</v>
      </c>
      <c r="AQ494">
        <v>26.041666666666739</v>
      </c>
      <c r="AR494">
        <v>27.083333333333261</v>
      </c>
    </row>
    <row r="495" spans="37:44" x14ac:dyDescent="0.2">
      <c r="AK495">
        <v>116.666666666667</v>
      </c>
      <c r="AL495">
        <v>116.666666666667</v>
      </c>
      <c r="AM495">
        <v>154.166666666667</v>
      </c>
      <c r="AO495">
        <v>29.166666666666739</v>
      </c>
      <c r="AP495">
        <v>29.166666666666739</v>
      </c>
      <c r="AQ495">
        <v>38.541666666666742</v>
      </c>
    </row>
    <row r="496" spans="37:44" x14ac:dyDescent="0.2">
      <c r="AK496">
        <v>129.166666666667</v>
      </c>
      <c r="AL496">
        <v>125</v>
      </c>
      <c r="AM496">
        <v>175</v>
      </c>
      <c r="AO496">
        <v>32.291666666666742</v>
      </c>
      <c r="AP496">
        <v>31.25</v>
      </c>
      <c r="AQ496">
        <v>43.75</v>
      </c>
    </row>
    <row r="497" spans="37:44" x14ac:dyDescent="0.2">
      <c r="AK497">
        <v>120.833333333333</v>
      </c>
      <c r="AL497">
        <v>141.666666666667</v>
      </c>
      <c r="AM497">
        <v>145.833333333333</v>
      </c>
      <c r="AO497">
        <v>30.208333333333261</v>
      </c>
      <c r="AP497">
        <v>35.416666666666742</v>
      </c>
      <c r="AQ497">
        <v>36.458333333333258</v>
      </c>
    </row>
    <row r="498" spans="37:44" x14ac:dyDescent="0.2">
      <c r="AK498">
        <v>83.33333333333303</v>
      </c>
      <c r="AL498">
        <v>79.16666666666697</v>
      </c>
      <c r="AM498">
        <v>104.166666666667</v>
      </c>
      <c r="AN498">
        <v>108.333333333333</v>
      </c>
      <c r="AO498">
        <v>20.833333333333261</v>
      </c>
      <c r="AP498">
        <v>19.791666666666739</v>
      </c>
      <c r="AQ498">
        <v>26.041666666666739</v>
      </c>
      <c r="AR498">
        <v>27.083333333333261</v>
      </c>
    </row>
    <row r="499" spans="37:44" x14ac:dyDescent="0.2">
      <c r="AK499">
        <v>95.83333333333303</v>
      </c>
      <c r="AL499">
        <v>91.66666666666697</v>
      </c>
      <c r="AM499">
        <v>100</v>
      </c>
      <c r="AN499">
        <v>99.999999999999091</v>
      </c>
      <c r="AO499">
        <v>23.958333333333261</v>
      </c>
      <c r="AP499">
        <v>22.916666666666739</v>
      </c>
      <c r="AQ499">
        <v>25</v>
      </c>
      <c r="AR499">
        <v>24.999999999999769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Microrritmos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Macbook</cp:lastModifiedBy>
  <dcterms:created xsi:type="dcterms:W3CDTF">2024-03-08T19:53:51Z</dcterms:created>
  <dcterms:modified xsi:type="dcterms:W3CDTF">2025-02-05T23:49:28Z</dcterms:modified>
</cp:coreProperties>
</file>